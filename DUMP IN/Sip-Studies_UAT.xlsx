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UAT Cases" sheetId="2" state="visible" r:id="rId2"/>
    <sheet xmlns:r="http://schemas.openxmlformats.org/officeDocument/2006/relationships" name="Coverage Matrix" sheetId="3" state="visible" r:id="rId3"/>
  </sheets>
  <definedNames>
    <definedName name="_xlnm._FilterDatabase" localSheetId="1" hidden="1">'UAT Cases'!$A$1:$M$66</definedName>
    <definedName name="_xlnm._FilterDatabase" localSheetId="2" hidden="1">'Coverage Matrix'!$A$1:$G$13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2F3"/>
      </patternFill>
    </fill>
    <fill>
      <patternFill patternType="solid">
        <fgColor rgb="001F5F6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20" customWidth="1" min="4" max="4"/>
  </cols>
  <sheetData>
    <row r="1">
      <c r="A1" s="1" t="inlineStr">
        <is>
          <t>Sip Studies - UAT Overview</t>
        </is>
      </c>
    </row>
    <row r="3">
      <c r="A3" s="2" t="inlineStr">
        <is>
          <t>Document</t>
        </is>
      </c>
      <c r="B3" s="3" t="inlineStr">
        <is>
          <t>Sip Studies - UAT Test Plan</t>
        </is>
      </c>
      <c r="C3" s="3" t="n"/>
      <c r="D3" s="3" t="n"/>
    </row>
    <row r="4">
      <c r="A4" s="2" t="inlineStr">
        <is>
          <t>Generated</t>
        </is>
      </c>
      <c r="B4" s="3" t="inlineStr">
        <is>
          <t>2026-02-28 23:21</t>
        </is>
      </c>
      <c r="C4" s="3" t="n"/>
      <c r="D4" s="3" t="n"/>
    </row>
    <row r="5">
      <c r="A5" s="2" t="inlineStr">
        <is>
          <t>Scope</t>
        </is>
      </c>
      <c r="B5" s="3" t="inlineStr">
        <is>
          <t>Current implemented front-end across Sip Studios, Ai RnD, Somm Support, and hash routing.</t>
        </is>
      </c>
      <c r="C5" s="3" t="n"/>
      <c r="D5" s="3" t="n"/>
    </row>
    <row r="6">
      <c r="A6" s="2" t="inlineStr">
        <is>
          <t>Build Type</t>
        </is>
      </c>
      <c r="B6" s="3" t="inlineStr">
        <is>
          <t>Manual UAT - Functional/UI/Regression/Accessibility</t>
        </is>
      </c>
      <c r="C6" s="3" t="n"/>
      <c r="D6" s="3" t="n"/>
    </row>
    <row r="7">
      <c r="A7" s="2" t="inlineStr">
        <is>
          <t>Execution Status</t>
        </is>
      </c>
      <c r="B7" s="3" t="inlineStr">
        <is>
          <t>Use UAT Cases sheet to execute and update Status, Actual Result, and Defect ID.</t>
        </is>
      </c>
      <c r="C7" s="3" t="n"/>
      <c r="D7" s="3" t="n"/>
    </row>
    <row r="8">
      <c r="A8" s="2" t="inlineStr">
        <is>
          <t>Status Legend</t>
        </is>
      </c>
      <c r="B8" s="3" t="inlineStr">
        <is>
          <t>Not Run, Pass, Fail, Blocked, N/A</t>
        </is>
      </c>
      <c r="C8" s="3" t="n"/>
      <c r="D8" s="3" t="n"/>
    </row>
    <row r="9">
      <c r="A9" s="2" t="inlineStr">
        <is>
          <t>Priority Legend</t>
        </is>
      </c>
      <c r="B9" s="3" t="inlineStr">
        <is>
          <t>P1 = High, P2 = Medium, P3 = Low</t>
        </is>
      </c>
      <c r="C9" s="3" t="n"/>
      <c r="D9" s="3" t="n"/>
    </row>
    <row r="11">
      <c r="A11" s="4" t="inlineStr">
        <is>
          <t>Live Metrics</t>
        </is>
      </c>
      <c r="B11" s="5" t="n"/>
      <c r="C11" s="5" t="n"/>
      <c r="D11" s="5" t="n"/>
    </row>
    <row r="12">
      <c r="A12" s="6" t="inlineStr">
        <is>
          <t>Total Test Cases</t>
        </is>
      </c>
      <c r="B12" s="3">
        <f>COUNTA('UAT Cases'!A:A)-1</f>
        <v/>
      </c>
      <c r="C12" s="3" t="n"/>
      <c r="D12" s="3" t="n"/>
    </row>
    <row r="13">
      <c r="A13" s="6" t="inlineStr">
        <is>
          <t>Pass</t>
        </is>
      </c>
      <c r="B13" s="3">
        <f>COUNTIF('UAT Cases'!J:J,"Pass")</f>
        <v/>
      </c>
      <c r="C13" s="3" t="n"/>
      <c r="D13" s="3" t="n"/>
    </row>
    <row r="14">
      <c r="A14" s="6" t="inlineStr">
        <is>
          <t>Fail</t>
        </is>
      </c>
      <c r="B14" s="3">
        <f>COUNTIF('UAT Cases'!J:J,"Fail")</f>
        <v/>
      </c>
      <c r="C14" s="3" t="n"/>
      <c r="D14" s="3" t="n"/>
    </row>
    <row r="15">
      <c r="A15" s="6" t="inlineStr">
        <is>
          <t>Blocked</t>
        </is>
      </c>
      <c r="B15" s="3">
        <f>COUNTIF('UAT Cases'!J:J,"Blocked")</f>
        <v/>
      </c>
      <c r="C15" s="3" t="n"/>
      <c r="D15" s="3" t="n"/>
    </row>
    <row r="16">
      <c r="A16" s="6" t="inlineStr">
        <is>
          <t>Not Run</t>
        </is>
      </c>
      <c r="B16" s="3">
        <f>COUNTIF('UAT Cases'!J:J,"Not Run")</f>
        <v/>
      </c>
      <c r="C16" s="3" t="n"/>
      <c r="D16" s="3" t="n"/>
    </row>
    <row r="17">
      <c r="A17" s="6" t="inlineStr">
        <is>
          <t>Pass Rate</t>
        </is>
      </c>
      <c r="B17" s="7">
        <f>IF(B12=0,0,B13/B12)</f>
        <v/>
      </c>
      <c r="C17" s="3" t="n"/>
      <c r="D17" s="3" t="n"/>
    </row>
  </sheetData>
  <mergeCells count="14">
    <mergeCell ref="A1:D1"/>
    <mergeCell ref="B3:D3"/>
    <mergeCell ref="B5:D5"/>
    <mergeCell ref="B14:D14"/>
    <mergeCell ref="B15:D15"/>
    <mergeCell ref="B8:D8"/>
    <mergeCell ref="B4:D4"/>
    <mergeCell ref="B17:D17"/>
    <mergeCell ref="B9:D9"/>
    <mergeCell ref="B13:D13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2" customWidth="1" min="4" max="4"/>
    <col width="26" customWidth="1" min="5" max="5"/>
    <col width="12" customWidth="1" min="6" max="6"/>
    <col width="9" customWidth="1" min="7" max="7"/>
    <col width="42" customWidth="1" min="8" max="8"/>
    <col width="44" customWidth="1" min="9" max="9"/>
    <col width="12" customWidth="1" min="10" max="10"/>
    <col width="24" customWidth="1" min="11" max="11"/>
    <col width="12" customWidth="1" min="12" max="12"/>
    <col width="22" customWidth="1" min="13" max="13"/>
  </cols>
  <sheetData>
    <row r="1">
      <c r="A1" s="8" t="inlineStr">
        <is>
          <t>Test ID</t>
        </is>
      </c>
      <c r="B1" s="8" t="inlineStr">
        <is>
          <t>Area</t>
        </is>
      </c>
      <c r="C1" s="8" t="inlineStr">
        <is>
          <t>Feature</t>
        </is>
      </c>
      <c r="D1" s="8" t="inlineStr">
        <is>
          <t>User Role</t>
        </is>
      </c>
      <c r="E1" s="8" t="inlineStr">
        <is>
          <t>Preconditions</t>
        </is>
      </c>
      <c r="F1" s="8" t="inlineStr">
        <is>
          <t>Test Type</t>
        </is>
      </c>
      <c r="G1" s="8" t="inlineStr">
        <is>
          <t>Priority</t>
        </is>
      </c>
      <c r="H1" s="8" t="inlineStr">
        <is>
          <t>Test Steps</t>
        </is>
      </c>
      <c r="I1" s="8" t="inlineStr">
        <is>
          <t>Expected Result</t>
        </is>
      </c>
      <c r="J1" s="8" t="inlineStr">
        <is>
          <t>Status</t>
        </is>
      </c>
      <c r="K1" s="8" t="inlineStr">
        <is>
          <t>Actual Result</t>
        </is>
      </c>
      <c r="L1" s="8" t="inlineStr">
        <is>
          <t>Defect ID</t>
        </is>
      </c>
      <c r="M1" s="8" t="inlineStr">
        <is>
          <t>Notes</t>
        </is>
      </c>
    </row>
    <row r="2" ht="58" customHeight="1">
      <c r="A2" s="3" t="inlineStr">
        <is>
          <t>UAT-NAV-001</t>
        </is>
      </c>
      <c r="B2" s="3" t="inlineStr">
        <is>
          <t>Global Navigation</t>
        </is>
      </c>
      <c r="C2" s="3" t="inlineStr">
        <is>
          <t>Brand House Tier Switch</t>
        </is>
      </c>
      <c r="D2" s="3" t="inlineStr">
        <is>
          <t>Guest/User</t>
        </is>
      </c>
      <c r="E2" s="3" t="inlineStr">
        <is>
          <t>Application loads successfully</t>
        </is>
      </c>
      <c r="F2" s="3" t="inlineStr">
        <is>
          <t>Functional</t>
        </is>
      </c>
      <c r="G2" s="3" t="inlineStr">
        <is>
          <t>P1</t>
        </is>
      </c>
      <c r="H2" s="3" t="inlineStr">
        <is>
          <t>1. Open home page.
2. Click Ai RnD logo.
3. Click Somm Support logo.
4. Click Sip Studios logo.</t>
        </is>
      </c>
      <c r="I2" s="3" t="inlineStr">
        <is>
          <t>Each logo switches brand tier and shows the corresponding sub-navigation and content page.</t>
        </is>
      </c>
      <c r="J2" s="3" t="inlineStr">
        <is>
          <t>Not Run</t>
        </is>
      </c>
      <c r="K2" s="3" t="inlineStr"/>
      <c r="L2" s="3" t="inlineStr"/>
      <c r="M2" s="3" t="inlineStr"/>
    </row>
    <row r="3" ht="58" customHeight="1">
      <c r="A3" s="3" t="inlineStr">
        <is>
          <t>UAT-NAV-002</t>
        </is>
      </c>
      <c r="B3" s="3" t="inlineStr">
        <is>
          <t>Global Navigation</t>
        </is>
      </c>
      <c r="C3" s="3" t="inlineStr">
        <is>
          <t>Sip Studios Tabs Visibility</t>
        </is>
      </c>
      <c r="D3" s="3" t="inlineStr">
        <is>
          <t>Guest/User</t>
        </is>
      </c>
      <c r="E3" s="3" t="inlineStr">
        <is>
          <t>Brand tier set to Sip Studios</t>
        </is>
      </c>
      <c r="F3" s="3" t="inlineStr">
        <is>
          <t>UI</t>
        </is>
      </c>
      <c r="G3" s="3" t="inlineStr">
        <is>
          <t>P1</t>
        </is>
      </c>
      <c r="H3" s="3" t="inlineStr">
        <is>
          <t>1. Select Sip Studios tier.
2. Review visible tabs.</t>
        </is>
      </c>
      <c r="I3" s="3" t="inlineStr">
        <is>
          <t>Tabs include Sip Academy, Sipopedia, Flavor Wheel, Tasting Journal, Tasting Groups, Beverage Quiz, Beverage News, Regions.</t>
        </is>
      </c>
      <c r="J3" s="3" t="inlineStr">
        <is>
          <t>Not Run</t>
        </is>
      </c>
      <c r="K3" s="3" t="inlineStr"/>
      <c r="L3" s="3" t="inlineStr"/>
      <c r="M3" s="3" t="inlineStr"/>
    </row>
    <row r="4" ht="58" customHeight="1">
      <c r="A4" s="3" t="inlineStr">
        <is>
          <t>UAT-NAV-003</t>
        </is>
      </c>
      <c r="B4" s="3" t="inlineStr">
        <is>
          <t>Global Navigation</t>
        </is>
      </c>
      <c r="C4" s="3" t="inlineStr">
        <is>
          <t>Ai RnD Sub-Nav</t>
        </is>
      </c>
      <c r="D4" s="3" t="inlineStr">
        <is>
          <t>Guest/User</t>
        </is>
      </c>
      <c r="E4" s="3" t="inlineStr">
        <is>
          <t>Brand tier set to Ai RnD</t>
        </is>
      </c>
      <c r="F4" s="3" t="inlineStr">
        <is>
          <t>Functional</t>
        </is>
      </c>
      <c r="G4" s="3" t="inlineStr">
        <is>
          <t>P2</t>
        </is>
      </c>
      <c r="H4" s="3" t="inlineStr">
        <is>
          <t>1. Select Ai RnD tier.</t>
        </is>
      </c>
      <c r="I4" s="3" t="inlineStr">
        <is>
          <t>News tab is available and selected state styling is applied.</t>
        </is>
      </c>
      <c r="J4" s="3" t="inlineStr">
        <is>
          <t>Not Run</t>
        </is>
      </c>
      <c r="K4" s="3" t="inlineStr"/>
      <c r="L4" s="3" t="inlineStr"/>
      <c r="M4" s="3" t="inlineStr"/>
    </row>
    <row r="5" ht="58" customHeight="1">
      <c r="A5" s="3" t="inlineStr">
        <is>
          <t>UAT-NAV-004</t>
        </is>
      </c>
      <c r="B5" s="3" t="inlineStr">
        <is>
          <t>Global Navigation</t>
        </is>
      </c>
      <c r="C5" s="3" t="inlineStr">
        <is>
          <t>Somm Support Sub-Nav</t>
        </is>
      </c>
      <c r="D5" s="3" t="inlineStr">
        <is>
          <t>Guest/User</t>
        </is>
      </c>
      <c r="E5" s="3" t="inlineStr">
        <is>
          <t>Brand tier set to Somm Support</t>
        </is>
      </c>
      <c r="F5" s="3" t="inlineStr">
        <is>
          <t>Functional</t>
        </is>
      </c>
      <c r="G5" s="3" t="inlineStr">
        <is>
          <t>P2</t>
        </is>
      </c>
      <c r="H5" s="3" t="inlineStr">
        <is>
          <t>1. Select Somm Support tier.</t>
        </is>
      </c>
      <c r="I5" s="3" t="inlineStr">
        <is>
          <t>News tab is available and selected state styling is applied.</t>
        </is>
      </c>
      <c r="J5" s="3" t="inlineStr">
        <is>
          <t>Not Run</t>
        </is>
      </c>
      <c r="K5" s="3" t="inlineStr"/>
      <c r="L5" s="3" t="inlineStr"/>
      <c r="M5" s="3" t="inlineStr"/>
    </row>
    <row r="6" ht="58" customHeight="1">
      <c r="A6" s="3" t="inlineStr">
        <is>
          <t>UAT-NAV-005</t>
        </is>
      </c>
      <c r="B6" s="3" t="inlineStr">
        <is>
          <t>Global Navigation</t>
        </is>
      </c>
      <c r="C6" s="3" t="inlineStr">
        <is>
          <t>Hash Routing - Supported Routes</t>
        </is>
      </c>
      <c r="D6" s="3" t="inlineStr">
        <is>
          <t>Guest/User</t>
        </is>
      </c>
      <c r="E6" s="3" t="inlineStr">
        <is>
          <t>Browser supports hash URLs</t>
        </is>
      </c>
      <c r="F6" s="3" t="inlineStr">
        <is>
          <t>Functional</t>
        </is>
      </c>
      <c r="G6" s="3" t="inlineStr">
        <is>
          <t>P1</t>
        </is>
      </c>
      <c r="H6" s="3" t="inlineStr">
        <is>
          <t>1. Enter each supported hash route (Sip Academy, Sipopedia, Flavor Wheel, Tasting Journal, Tasting Groups, Beverage Quiz, Beverage News, Regions, Ai News, Somm News).</t>
        </is>
      </c>
      <c r="I6" s="3" t="inlineStr">
        <is>
          <t>Each hash opens the intended page without full reload errors.</t>
        </is>
      </c>
      <c r="J6" s="3" t="inlineStr">
        <is>
          <t>Not Run</t>
        </is>
      </c>
      <c r="K6" s="3" t="inlineStr"/>
      <c r="L6" s="3" t="inlineStr"/>
      <c r="M6" s="3" t="inlineStr"/>
    </row>
    <row r="7" ht="58" customHeight="1">
      <c r="A7" s="3" t="inlineStr">
        <is>
          <t>UAT-NAV-006</t>
        </is>
      </c>
      <c r="B7" s="3" t="inlineStr">
        <is>
          <t>Global Navigation</t>
        </is>
      </c>
      <c r="C7" s="3" t="inlineStr">
        <is>
          <t>Hash Alias Handling</t>
        </is>
      </c>
      <c r="D7" s="3" t="inlineStr">
        <is>
          <t>Guest/User</t>
        </is>
      </c>
      <c r="E7" s="3" t="inlineStr">
        <is>
          <t>App is loaded</t>
        </is>
      </c>
      <c r="F7" s="3" t="inlineStr">
        <is>
          <t>Functional</t>
        </is>
      </c>
      <c r="G7" s="3" t="inlineStr">
        <is>
          <t>P2</t>
        </is>
      </c>
      <c r="H7" s="3" t="inlineStr">
        <is>
          <t>1. Navigate to #home.
2. Navigate to #terminology.</t>
        </is>
      </c>
      <c r="I7" s="3" t="inlineStr">
        <is>
          <t>#home resolves to Sip Academy and #terminology resolves to Sipopedia.</t>
        </is>
      </c>
      <c r="J7" s="3" t="inlineStr">
        <is>
          <t>Not Run</t>
        </is>
      </c>
      <c r="K7" s="3" t="inlineStr"/>
      <c r="L7" s="3" t="inlineStr"/>
      <c r="M7" s="3" t="inlineStr"/>
    </row>
    <row r="8" ht="58" customHeight="1">
      <c r="A8" s="3" t="inlineStr">
        <is>
          <t>UAT-NAV-007</t>
        </is>
      </c>
      <c r="B8" s="3" t="inlineStr">
        <is>
          <t>Global Navigation</t>
        </is>
      </c>
      <c r="C8" s="3" t="inlineStr">
        <is>
          <t>Invalid Hash Fallback</t>
        </is>
      </c>
      <c r="D8" s="3" t="inlineStr">
        <is>
          <t>Guest/User</t>
        </is>
      </c>
      <c r="E8" s="3" t="inlineStr">
        <is>
          <t>App is loaded</t>
        </is>
      </c>
      <c r="F8" s="3" t="inlineStr">
        <is>
          <t>Functional</t>
        </is>
      </c>
      <c r="G8" s="3" t="inlineStr">
        <is>
          <t>P1</t>
        </is>
      </c>
      <c r="H8" s="3" t="inlineStr">
        <is>
          <t>1. Navigate to an unknown hash.</t>
        </is>
      </c>
      <c r="I8" s="3" t="inlineStr">
        <is>
          <t>Application falls back to Sip Academy without crashing.</t>
        </is>
      </c>
      <c r="J8" s="3" t="inlineStr">
        <is>
          <t>Not Run</t>
        </is>
      </c>
      <c r="K8" s="3" t="inlineStr"/>
      <c r="L8" s="3" t="inlineStr"/>
      <c r="M8" s="3" t="inlineStr"/>
    </row>
    <row r="9" ht="58" customHeight="1">
      <c r="A9" s="3" t="inlineStr">
        <is>
          <t>UAT-NAV-008</t>
        </is>
      </c>
      <c r="B9" s="3" t="inlineStr">
        <is>
          <t>Global Navigation</t>
        </is>
      </c>
      <c r="C9" s="3" t="inlineStr">
        <is>
          <t>Browser Back/Forward</t>
        </is>
      </c>
      <c r="D9" s="3" t="inlineStr">
        <is>
          <t>Guest/User</t>
        </is>
      </c>
      <c r="E9" s="3" t="inlineStr">
        <is>
          <t>Navigate across at least 3 tabs</t>
        </is>
      </c>
      <c r="F9" s="3" t="inlineStr">
        <is>
          <t>Regression</t>
        </is>
      </c>
      <c r="G9" s="3" t="inlineStr">
        <is>
          <t>P2</t>
        </is>
      </c>
      <c r="H9" s="3" t="inlineStr">
        <is>
          <t>1. Move between multiple tabs and brand tiers.
2. Use browser back and forward.</t>
        </is>
      </c>
      <c r="I9" s="3" t="inlineStr">
        <is>
          <t>Page state tracks browser history and updates content correctly.</t>
        </is>
      </c>
      <c r="J9" s="3" t="inlineStr">
        <is>
          <t>Not Run</t>
        </is>
      </c>
      <c r="K9" s="3" t="inlineStr"/>
      <c r="L9" s="3" t="inlineStr"/>
      <c r="M9" s="3" t="inlineStr"/>
    </row>
    <row r="10" ht="58" customHeight="1">
      <c r="A10" s="3" t="inlineStr">
        <is>
          <t>UAT-ACA-001</t>
        </is>
      </c>
      <c r="B10" s="3" t="inlineStr">
        <is>
          <t>Sip Academy</t>
        </is>
      </c>
      <c r="C10" s="3" t="inlineStr">
        <is>
          <t>Auth Panel Render</t>
        </is>
      </c>
      <c r="D10" s="3" t="inlineStr">
        <is>
          <t>Guest/User</t>
        </is>
      </c>
      <c r="E10" s="3" t="inlineStr">
        <is>
          <t>Sip Academy tab open</t>
        </is>
      </c>
      <c r="F10" s="3" t="inlineStr">
        <is>
          <t>UI</t>
        </is>
      </c>
      <c r="G10" s="3" t="inlineStr">
        <is>
          <t>P2</t>
        </is>
      </c>
      <c r="H10" s="3" t="inlineStr">
        <is>
          <t>1. Open Sip Academy.
2. Verify auth section visibility.</t>
        </is>
      </c>
      <c r="I10" s="3" t="inlineStr">
        <is>
          <t>Auth panel is visible and actions are clearly available.</t>
        </is>
      </c>
      <c r="J10" s="3" t="inlineStr">
        <is>
          <t>Not Run</t>
        </is>
      </c>
      <c r="K10" s="3" t="inlineStr"/>
      <c r="L10" s="3" t="inlineStr"/>
      <c r="M10" s="3" t="inlineStr"/>
    </row>
    <row r="11" ht="58" customHeight="1">
      <c r="A11" s="3" t="inlineStr">
        <is>
          <t>UAT-ACA-002</t>
        </is>
      </c>
      <c r="B11" s="3" t="inlineStr">
        <is>
          <t>Sip Academy</t>
        </is>
      </c>
      <c r="C11" s="3" t="inlineStr">
        <is>
          <t>AI Lab Prompt Flow</t>
        </is>
      </c>
      <c r="D11" s="3" t="inlineStr">
        <is>
          <t>Guest/User</t>
        </is>
      </c>
      <c r="E11" s="3" t="inlineStr">
        <is>
          <t>Sip Academy tab open</t>
        </is>
      </c>
      <c r="F11" s="3" t="inlineStr">
        <is>
          <t>Functional</t>
        </is>
      </c>
      <c r="G11" s="3" t="inlineStr">
        <is>
          <t>P1</t>
        </is>
      </c>
      <c r="H11" s="3" t="inlineStr">
        <is>
          <t>1. Enter prompt in AI Lab.
2. Submit generation action.</t>
        </is>
      </c>
      <c r="I11" s="3" t="inlineStr">
        <is>
          <t>User receives generated output or a clear non-breaking error state.</t>
        </is>
      </c>
      <c r="J11" s="3" t="inlineStr">
        <is>
          <t>Not Run</t>
        </is>
      </c>
      <c r="K11" s="3" t="inlineStr"/>
      <c r="L11" s="3" t="inlineStr"/>
      <c r="M11" s="3" t="inlineStr"/>
    </row>
    <row r="12" ht="58" customHeight="1">
      <c r="A12" s="3" t="inlineStr">
        <is>
          <t>UAT-ACA-003</t>
        </is>
      </c>
      <c r="B12" s="3" t="inlineStr">
        <is>
          <t>Sip Academy</t>
        </is>
      </c>
      <c r="C12" s="3" t="inlineStr">
        <is>
          <t>Learning Path Node Navigation</t>
        </is>
      </c>
      <c r="D12" s="3" t="inlineStr">
        <is>
          <t>Guest/User</t>
        </is>
      </c>
      <c r="E12" s="3" t="inlineStr">
        <is>
          <t>Sip Academy tab open</t>
        </is>
      </c>
      <c r="F12" s="3" t="inlineStr">
        <is>
          <t>Functional</t>
        </is>
      </c>
      <c r="G12" s="3" t="inlineStr">
        <is>
          <t>P1</t>
        </is>
      </c>
      <c r="H12" s="3" t="inlineStr">
        <is>
          <t>1. Open Learning Path.
2. Select current and unlocked nodes.</t>
        </is>
      </c>
      <c r="I12" s="3" t="inlineStr">
        <is>
          <t>Lesson content panel updates to selected node and preserves active state.</t>
        </is>
      </c>
      <c r="J12" s="3" t="inlineStr">
        <is>
          <t>Not Run</t>
        </is>
      </c>
      <c r="K12" s="3" t="inlineStr"/>
      <c r="L12" s="3" t="inlineStr"/>
      <c r="M12" s="3" t="inlineStr"/>
    </row>
    <row r="13" ht="58" customHeight="1">
      <c r="A13" s="3" t="inlineStr">
        <is>
          <t>UAT-ACA-004</t>
        </is>
      </c>
      <c r="B13" s="3" t="inlineStr">
        <is>
          <t>Sip Academy</t>
        </is>
      </c>
      <c r="C13" s="3" t="inlineStr">
        <is>
          <t>Lesson Modal Studio Open</t>
        </is>
      </c>
      <c r="D13" s="3" t="inlineStr">
        <is>
          <t>Guest/User</t>
        </is>
      </c>
      <c r="E13" s="3" t="inlineStr">
        <is>
          <t>An available lesson node exists</t>
        </is>
      </c>
      <c r="F13" s="3" t="inlineStr">
        <is>
          <t>Functional</t>
        </is>
      </c>
      <c r="G13" s="3" t="inlineStr">
        <is>
          <t>P1</t>
        </is>
      </c>
      <c r="H13" s="3" t="inlineStr">
        <is>
          <t>1. Launch lesson studio/modal.
2. Close modal.</t>
        </is>
      </c>
      <c r="I13" s="3" t="inlineStr">
        <is>
          <t>Modal opens with lesson content and closes without layout break.</t>
        </is>
      </c>
      <c r="J13" s="3" t="inlineStr">
        <is>
          <t>Not Run</t>
        </is>
      </c>
      <c r="K13" s="3" t="inlineStr"/>
      <c r="L13" s="3" t="inlineStr"/>
      <c r="M13" s="3" t="inlineStr"/>
    </row>
    <row r="14" ht="58" customHeight="1">
      <c r="A14" s="3" t="inlineStr">
        <is>
          <t>UAT-ACA-005</t>
        </is>
      </c>
      <c r="B14" s="3" t="inlineStr">
        <is>
          <t>Sip Academy</t>
        </is>
      </c>
      <c r="C14" s="3" t="inlineStr">
        <is>
          <t>Interactive Mission Stepper</t>
        </is>
      </c>
      <c r="D14" s="3" t="inlineStr">
        <is>
          <t>Guest/User</t>
        </is>
      </c>
      <c r="E14" s="3" t="inlineStr">
        <is>
          <t>Sip Academy tab open</t>
        </is>
      </c>
      <c r="F14" s="3" t="inlineStr">
        <is>
          <t>Functional</t>
        </is>
      </c>
      <c r="G14" s="3" t="inlineStr">
        <is>
          <t>P2</t>
        </is>
      </c>
      <c r="H14" s="3" t="inlineStr">
        <is>
          <t>1. In Interactive Mission, click Next and Back.</t>
        </is>
      </c>
      <c r="I14" s="3" t="inlineStr">
        <is>
          <t>Step index and progress bar update correctly; boundary disabled states are correct.</t>
        </is>
      </c>
      <c r="J14" s="3" t="inlineStr">
        <is>
          <t>Not Run</t>
        </is>
      </c>
      <c r="K14" s="3" t="inlineStr"/>
      <c r="L14" s="3" t="inlineStr"/>
      <c r="M14" s="3" t="inlineStr"/>
    </row>
    <row r="15" ht="58" customHeight="1">
      <c r="A15" s="3" t="inlineStr">
        <is>
          <t>UAT-ACA-006</t>
        </is>
      </c>
      <c r="B15" s="3" t="inlineStr">
        <is>
          <t>Sip Academy</t>
        </is>
      </c>
      <c r="C15" s="3" t="inlineStr">
        <is>
          <t>Premium Placeholder Block</t>
        </is>
      </c>
      <c r="D15" s="3" t="inlineStr">
        <is>
          <t>Guest/User</t>
        </is>
      </c>
      <c r="E15" s="3" t="inlineStr">
        <is>
          <t>Sip Academy tab open</t>
        </is>
      </c>
      <c r="F15" s="3" t="inlineStr">
        <is>
          <t>UI</t>
        </is>
      </c>
      <c r="G15" s="3" t="inlineStr">
        <is>
          <t>P3</t>
        </is>
      </c>
      <c r="H15" s="3" t="inlineStr">
        <is>
          <t>1. Scroll to future premium section.</t>
        </is>
      </c>
      <c r="I15" s="3" t="inlineStr">
        <is>
          <t>Premium section displays with locked disabled call-to-action.</t>
        </is>
      </c>
      <c r="J15" s="3" t="inlineStr">
        <is>
          <t>Not Run</t>
        </is>
      </c>
      <c r="K15" s="3" t="inlineStr"/>
      <c r="L15" s="3" t="inlineStr"/>
      <c r="M15" s="3" t="inlineStr"/>
    </row>
    <row r="16" ht="58" customHeight="1">
      <c r="A16" s="3" t="inlineStr">
        <is>
          <t>UAT-SIPO-001</t>
        </is>
      </c>
      <c r="B16" s="3" t="inlineStr">
        <is>
          <t>Sipopedia</t>
        </is>
      </c>
      <c r="C16" s="3" t="inlineStr">
        <is>
          <t>Terminology Search</t>
        </is>
      </c>
      <c r="D16" s="3" t="inlineStr">
        <is>
          <t>Guest/User</t>
        </is>
      </c>
      <c r="E16" s="3" t="inlineStr">
        <is>
          <t>Sipopedia tab open</t>
        </is>
      </c>
      <c r="F16" s="3" t="inlineStr">
        <is>
          <t>Functional</t>
        </is>
      </c>
      <c r="G16" s="3" t="inlineStr">
        <is>
          <t>P1</t>
        </is>
      </c>
      <c r="H16" s="3" t="inlineStr">
        <is>
          <t>1. Enter known term fragment in search input.</t>
        </is>
      </c>
      <c r="I16" s="3" t="inlineStr">
        <is>
          <t>Results filter to matching terminology entries.</t>
        </is>
      </c>
      <c r="J16" s="3" t="inlineStr">
        <is>
          <t>Not Run</t>
        </is>
      </c>
      <c r="K16" s="3" t="inlineStr"/>
      <c r="L16" s="3" t="inlineStr"/>
      <c r="M16" s="3" t="inlineStr"/>
    </row>
    <row r="17" ht="58" customHeight="1">
      <c r="A17" s="3" t="inlineStr">
        <is>
          <t>UAT-SIPO-002</t>
        </is>
      </c>
      <c r="B17" s="3" t="inlineStr">
        <is>
          <t>Sipopedia</t>
        </is>
      </c>
      <c r="C17" s="3" t="inlineStr">
        <is>
          <t>Bucket Filter</t>
        </is>
      </c>
      <c r="D17" s="3" t="inlineStr">
        <is>
          <t>Guest/User</t>
        </is>
      </c>
      <c r="E17" s="3" t="inlineStr">
        <is>
          <t>Sipopedia tab open</t>
        </is>
      </c>
      <c r="F17" s="3" t="inlineStr">
        <is>
          <t>Functional</t>
        </is>
      </c>
      <c r="G17" s="3" t="inlineStr">
        <is>
          <t>P1</t>
        </is>
      </c>
      <c r="H17" s="3" t="inlineStr">
        <is>
          <t>1. Select an A-Z or # bucket.</t>
        </is>
      </c>
      <c r="I17" s="3" t="inlineStr">
        <is>
          <t>Only entries in selected bucket are listed.</t>
        </is>
      </c>
      <c r="J17" s="3" t="inlineStr">
        <is>
          <t>Not Run</t>
        </is>
      </c>
      <c r="K17" s="3" t="inlineStr"/>
      <c r="L17" s="3" t="inlineStr"/>
      <c r="M17" s="3" t="inlineStr"/>
    </row>
    <row r="18" ht="58" customHeight="1">
      <c r="A18" s="3" t="inlineStr">
        <is>
          <t>UAT-SIPO-003</t>
        </is>
      </c>
      <c r="B18" s="3" t="inlineStr">
        <is>
          <t>Sipopedia</t>
        </is>
      </c>
      <c r="C18" s="3" t="inlineStr">
        <is>
          <t>Pagination Controls</t>
        </is>
      </c>
      <c r="D18" s="3" t="inlineStr">
        <is>
          <t>Guest/User</t>
        </is>
      </c>
      <c r="E18" s="3" t="inlineStr">
        <is>
          <t>Result count exceeds page size</t>
        </is>
      </c>
      <c r="F18" s="3" t="inlineStr">
        <is>
          <t>Functional</t>
        </is>
      </c>
      <c r="G18" s="3" t="inlineStr">
        <is>
          <t>P2</t>
        </is>
      </c>
      <c r="H18" s="3" t="inlineStr">
        <is>
          <t>1. Move to next and previous pages.</t>
        </is>
      </c>
      <c r="I18" s="3" t="inlineStr">
        <is>
          <t>Page index updates and entries refresh correctly.</t>
        </is>
      </c>
      <c r="J18" s="3" t="inlineStr">
        <is>
          <t>Not Run</t>
        </is>
      </c>
      <c r="K18" s="3" t="inlineStr"/>
      <c r="L18" s="3" t="inlineStr"/>
      <c r="M18" s="3" t="inlineStr"/>
    </row>
    <row r="19" ht="58" customHeight="1">
      <c r="A19" s="3" t="inlineStr">
        <is>
          <t>UAT-SIPO-004</t>
        </is>
      </c>
      <c r="B19" s="3" t="inlineStr">
        <is>
          <t>Sipopedia</t>
        </is>
      </c>
      <c r="C19" s="3" t="inlineStr">
        <is>
          <t>Page Size Selector</t>
        </is>
      </c>
      <c r="D19" s="3" t="inlineStr">
        <is>
          <t>Guest/User</t>
        </is>
      </c>
      <c r="E19" s="3" t="inlineStr">
        <is>
          <t>Sipopedia tab open</t>
        </is>
      </c>
      <c r="F19" s="3" t="inlineStr">
        <is>
          <t>Functional</t>
        </is>
      </c>
      <c r="G19" s="3" t="inlineStr">
        <is>
          <t>P2</t>
        </is>
      </c>
      <c r="H19" s="3" t="inlineStr">
        <is>
          <t>1. Change page size value.</t>
        </is>
      </c>
      <c r="I19" s="3" t="inlineStr">
        <is>
          <t>List density updates and pagination recalculates.</t>
        </is>
      </c>
      <c r="J19" s="3" t="inlineStr">
        <is>
          <t>Not Run</t>
        </is>
      </c>
      <c r="K19" s="3" t="inlineStr"/>
      <c r="L19" s="3" t="inlineStr"/>
      <c r="M19" s="3" t="inlineStr"/>
    </row>
    <row r="20" ht="58" customHeight="1">
      <c r="A20" s="3" t="inlineStr">
        <is>
          <t>UAT-SIPO-005</t>
        </is>
      </c>
      <c r="B20" s="3" t="inlineStr">
        <is>
          <t>Sipopedia</t>
        </is>
      </c>
      <c r="C20" s="3" t="inlineStr">
        <is>
          <t>Term Detail Modal</t>
        </is>
      </c>
      <c r="D20" s="3" t="inlineStr">
        <is>
          <t>Guest/User</t>
        </is>
      </c>
      <c r="E20" s="3" t="inlineStr">
        <is>
          <t>At least one term listed</t>
        </is>
      </c>
      <c r="F20" s="3" t="inlineStr">
        <is>
          <t>Functional</t>
        </is>
      </c>
      <c r="G20" s="3" t="inlineStr">
        <is>
          <t>P1</t>
        </is>
      </c>
      <c r="H20" s="3" t="inlineStr">
        <is>
          <t>1. Click a term row.
2. Review modal sections.
3. Close modal.</t>
        </is>
      </c>
      <c r="I20" s="3" t="inlineStr">
        <is>
          <t>Modal shows term details and closes cleanly.</t>
        </is>
      </c>
      <c r="J20" s="3" t="inlineStr">
        <is>
          <t>Not Run</t>
        </is>
      </c>
      <c r="K20" s="3" t="inlineStr"/>
      <c r="L20" s="3" t="inlineStr"/>
      <c r="M20" s="3" t="inlineStr"/>
    </row>
    <row r="21" ht="58" customHeight="1">
      <c r="A21" s="3" t="inlineStr">
        <is>
          <t>UAT-SIPO-006</t>
        </is>
      </c>
      <c r="B21" s="3" t="inlineStr">
        <is>
          <t>Sipopedia</t>
        </is>
      </c>
      <c r="C21" s="3" t="inlineStr">
        <is>
          <t>Outbound Reference Links</t>
        </is>
      </c>
      <c r="D21" s="3" t="inlineStr">
        <is>
          <t>Guest/User</t>
        </is>
      </c>
      <c r="E21" s="3" t="inlineStr">
        <is>
          <t>Term modal with links open</t>
        </is>
      </c>
      <c r="F21" s="3" t="inlineStr">
        <is>
          <t>Functional</t>
        </is>
      </c>
      <c r="G21" s="3" t="inlineStr">
        <is>
          <t>P3</t>
        </is>
      </c>
      <c r="H21" s="3" t="inlineStr">
        <is>
          <t>1. Open an external reference link.</t>
        </is>
      </c>
      <c r="I21" s="3" t="inlineStr">
        <is>
          <t>Link opens in a new tab or window.</t>
        </is>
      </c>
      <c r="J21" s="3" t="inlineStr">
        <is>
          <t>Not Run</t>
        </is>
      </c>
      <c r="K21" s="3" t="inlineStr"/>
      <c r="L21" s="3" t="inlineStr"/>
      <c r="M21" s="3" t="inlineStr"/>
    </row>
    <row r="22" ht="58" customHeight="1">
      <c r="A22" s="3" t="inlineStr">
        <is>
          <t>UAT-FLW-001</t>
        </is>
      </c>
      <c r="B22" s="3" t="inlineStr">
        <is>
          <t>Flavor Wheel</t>
        </is>
      </c>
      <c r="C22" s="3" t="inlineStr">
        <is>
          <t>Beverage Tab Switching</t>
        </is>
      </c>
      <c r="D22" s="3" t="inlineStr">
        <is>
          <t>Guest/User</t>
        </is>
      </c>
      <c r="E22" s="3" t="inlineStr">
        <is>
          <t>Flavor Wheel tab open</t>
        </is>
      </c>
      <c r="F22" s="3" t="inlineStr">
        <is>
          <t>Functional</t>
        </is>
      </c>
      <c r="G22" s="3" t="inlineStr">
        <is>
          <t>P1</t>
        </is>
      </c>
      <c r="H22" s="3" t="inlineStr">
        <is>
          <t>1. Switch among beverage tabs.</t>
        </is>
      </c>
      <c r="I22" s="3" t="inlineStr">
        <is>
          <t>Wheel and detail panel update per selected beverage.</t>
        </is>
      </c>
      <c r="J22" s="3" t="inlineStr">
        <is>
          <t>Not Run</t>
        </is>
      </c>
      <c r="K22" s="3" t="inlineStr"/>
      <c r="L22" s="3" t="inlineStr"/>
      <c r="M22" s="3" t="inlineStr"/>
    </row>
    <row r="23" ht="58" customHeight="1">
      <c r="A23" s="3" t="inlineStr">
        <is>
          <t>UAT-FLW-002</t>
        </is>
      </c>
      <c r="B23" s="3" t="inlineStr">
        <is>
          <t>Flavor Wheel</t>
        </is>
      </c>
      <c r="C23" s="3" t="inlineStr">
        <is>
          <t>Wheel Segment Selection</t>
        </is>
      </c>
      <c r="D23" s="3" t="inlineStr">
        <is>
          <t>Guest/User</t>
        </is>
      </c>
      <c r="E23" s="3" t="inlineStr">
        <is>
          <t>Flavor Wheel tab open</t>
        </is>
      </c>
      <c r="F23" s="3" t="inlineStr">
        <is>
          <t>Functional</t>
        </is>
      </c>
      <c r="G23" s="3" t="inlineStr">
        <is>
          <t>P1</t>
        </is>
      </c>
      <c r="H23" s="3" t="inlineStr">
        <is>
          <t>1. Click multiple wheel descriptors segments.</t>
        </is>
      </c>
      <c r="I23" s="3" t="inlineStr">
        <is>
          <t>Detail panel updates to selected descriptor family.</t>
        </is>
      </c>
      <c r="J23" s="3" t="inlineStr">
        <is>
          <t>Not Run</t>
        </is>
      </c>
      <c r="K23" s="3" t="inlineStr"/>
      <c r="L23" s="3" t="inlineStr"/>
      <c r="M23" s="3" t="inlineStr"/>
    </row>
    <row r="24" ht="58" customHeight="1">
      <c r="A24" s="3" t="inlineStr">
        <is>
          <t>UAT-FLW-003</t>
        </is>
      </c>
      <c r="B24" s="3" t="inlineStr">
        <is>
          <t>Flavor Wheel</t>
        </is>
      </c>
      <c r="C24" s="3" t="inlineStr">
        <is>
          <t>Intensity Meters</t>
        </is>
      </c>
      <c r="D24" s="3" t="inlineStr">
        <is>
          <t>Guest/User</t>
        </is>
      </c>
      <c r="E24" s="3" t="inlineStr">
        <is>
          <t>Flavor Wheel tab open</t>
        </is>
      </c>
      <c r="F24" s="3" t="inlineStr">
        <is>
          <t>UI</t>
        </is>
      </c>
      <c r="G24" s="3" t="inlineStr">
        <is>
          <t>P2</t>
        </is>
      </c>
      <c r="H24" s="3" t="inlineStr">
        <is>
          <t>1. Switch descriptor contexts.</t>
        </is>
      </c>
      <c r="I24" s="3" t="inlineStr">
        <is>
          <t>Acidity and sweetness meters render with expected values styles.</t>
        </is>
      </c>
      <c r="J24" s="3" t="inlineStr">
        <is>
          <t>Not Run</t>
        </is>
      </c>
      <c r="K24" s="3" t="inlineStr"/>
      <c r="L24" s="3" t="inlineStr"/>
      <c r="M24" s="3" t="inlineStr"/>
    </row>
    <row r="25" ht="58" customHeight="1">
      <c r="A25" s="3" t="inlineStr">
        <is>
          <t>UAT-FLW-004</t>
        </is>
      </c>
      <c r="B25" s="3" t="inlineStr">
        <is>
          <t>Flavor Wheel</t>
        </is>
      </c>
      <c r="C25" s="3" t="inlineStr">
        <is>
          <t>Fruit Reference Matrix</t>
        </is>
      </c>
      <c r="D25" s="3" t="inlineStr">
        <is>
          <t>Guest/User</t>
        </is>
      </c>
      <c r="E25" s="3" t="inlineStr">
        <is>
          <t>Flavor Wheel tab open</t>
        </is>
      </c>
      <c r="F25" s="3" t="inlineStr">
        <is>
          <t>Functional</t>
        </is>
      </c>
      <c r="G25" s="3" t="inlineStr">
        <is>
          <t>P2</t>
        </is>
      </c>
      <c r="H25" s="3" t="inlineStr">
        <is>
          <t>1. Open Fruit Reference mode.
2. Select points in matrix.</t>
        </is>
      </c>
      <c r="I25" s="3" t="inlineStr">
        <is>
          <t>Matrix interaction updates climate and fruit reference details.</t>
        </is>
      </c>
      <c r="J25" s="3" t="inlineStr">
        <is>
          <t>Not Run</t>
        </is>
      </c>
      <c r="K25" s="3" t="inlineStr"/>
      <c r="L25" s="3" t="inlineStr"/>
      <c r="M25" s="3" t="inlineStr"/>
    </row>
    <row r="26" ht="58" customHeight="1">
      <c r="A26" s="3" t="inlineStr">
        <is>
          <t>UAT-TJ-001</t>
        </is>
      </c>
      <c r="B26" s="3" t="inlineStr">
        <is>
          <t>Tasting Journal</t>
        </is>
      </c>
      <c r="C26" s="3" t="inlineStr">
        <is>
          <t>Subtab Navigation</t>
        </is>
      </c>
      <c r="D26" s="3" t="inlineStr">
        <is>
          <t>Guest/User</t>
        </is>
      </c>
      <c r="E26" s="3" t="inlineStr">
        <is>
          <t>Tasting Journal tab open</t>
        </is>
      </c>
      <c r="F26" s="3" t="inlineStr">
        <is>
          <t>Functional</t>
        </is>
      </c>
      <c r="G26" s="3" t="inlineStr">
        <is>
          <t>P1</t>
        </is>
      </c>
      <c r="H26" s="3" t="inlineStr">
        <is>
          <t>1. Switch across Make Notes, Review Notes, Analytics, Regions Map.</t>
        </is>
      </c>
      <c r="I26" s="3" t="inlineStr">
        <is>
          <t>Each subtab loads corresponding panel without runtime errors.</t>
        </is>
      </c>
      <c r="J26" s="3" t="inlineStr">
        <is>
          <t>Not Run</t>
        </is>
      </c>
      <c r="K26" s="3" t="inlineStr"/>
      <c r="L26" s="3" t="inlineStr"/>
      <c r="M26" s="3" t="inlineStr"/>
    </row>
    <row r="27" ht="58" customHeight="1">
      <c r="A27" s="3" t="inlineStr">
        <is>
          <t>UAT-TJ-002</t>
        </is>
      </c>
      <c r="B27" s="3" t="inlineStr">
        <is>
          <t>Tasting Journal</t>
        </is>
      </c>
      <c r="C27" s="3" t="inlineStr">
        <is>
          <t>Create Note</t>
        </is>
      </c>
      <c r="D27" s="3" t="inlineStr">
        <is>
          <t>Guest/User</t>
        </is>
      </c>
      <c r="E27" s="3" t="inlineStr">
        <is>
          <t>Tasting Journal Make Notes open</t>
        </is>
      </c>
      <c r="F27" s="3" t="inlineStr">
        <is>
          <t>Functional</t>
        </is>
      </c>
      <c r="G27" s="3" t="inlineStr">
        <is>
          <t>P1</t>
        </is>
      </c>
      <c r="H27" s="3" t="inlineStr">
        <is>
          <t>1. Fill note fields.
2. Save note.</t>
        </is>
      </c>
      <c r="I27" s="3" t="inlineStr">
        <is>
          <t>Note is saved and appears in Review list.</t>
        </is>
      </c>
      <c r="J27" s="3" t="inlineStr">
        <is>
          <t>Not Run</t>
        </is>
      </c>
      <c r="K27" s="3" t="inlineStr"/>
      <c r="L27" s="3" t="inlineStr"/>
      <c r="M27" s="3" t="inlineStr"/>
    </row>
    <row r="28" ht="58" customHeight="1">
      <c r="A28" s="3" t="inlineStr">
        <is>
          <t>UAT-TJ-003</t>
        </is>
      </c>
      <c r="B28" s="3" t="inlineStr">
        <is>
          <t>Tasting Journal</t>
        </is>
      </c>
      <c r="C28" s="3" t="inlineStr">
        <is>
          <t>Blind Guess Scoring</t>
        </is>
      </c>
      <c r="D28" s="3" t="inlineStr">
        <is>
          <t>Guest/User</t>
        </is>
      </c>
      <c r="E28" s="3" t="inlineStr">
        <is>
          <t>Make Notes mode</t>
        </is>
      </c>
      <c r="F28" s="3" t="inlineStr">
        <is>
          <t>Functional</t>
        </is>
      </c>
      <c r="G28" s="3" t="inlineStr">
        <is>
          <t>P1</t>
        </is>
      </c>
      <c r="H28" s="3" t="inlineStr">
        <is>
          <t>1. Enable blind mode.
2. Enter guesses and mark correctness.</t>
        </is>
      </c>
      <c r="I28" s="3" t="inlineStr">
        <is>
          <t>Blind scoring controls and accuracy values update correctly.</t>
        </is>
      </c>
      <c r="J28" s="3" t="inlineStr">
        <is>
          <t>Not Run</t>
        </is>
      </c>
      <c r="K28" s="3" t="inlineStr"/>
      <c r="L28" s="3" t="inlineStr"/>
      <c r="M28" s="3" t="inlineStr"/>
    </row>
    <row r="29" ht="58" customHeight="1">
      <c r="A29" s="3" t="inlineStr">
        <is>
          <t>UAT-TJ-004</t>
        </is>
      </c>
      <c r="B29" s="3" t="inlineStr">
        <is>
          <t>Tasting Journal</t>
        </is>
      </c>
      <c r="C29" s="3" t="inlineStr">
        <is>
          <t>Review Search and Select</t>
        </is>
      </c>
      <c r="D29" s="3" t="inlineStr">
        <is>
          <t>Guest/User</t>
        </is>
      </c>
      <c r="E29" s="3" t="inlineStr">
        <is>
          <t>At least two notes exist</t>
        </is>
      </c>
      <c r="F29" s="3" t="inlineStr">
        <is>
          <t>Functional</t>
        </is>
      </c>
      <c r="G29" s="3" t="inlineStr">
        <is>
          <t>P2</t>
        </is>
      </c>
      <c r="H29" s="3" t="inlineStr">
        <is>
          <t>1. Search notes in review.
2. Select a note.</t>
        </is>
      </c>
      <c r="I29" s="3" t="inlineStr">
        <is>
          <t>List filters and detail panel shows selected note.</t>
        </is>
      </c>
      <c r="J29" s="3" t="inlineStr">
        <is>
          <t>Not Run</t>
        </is>
      </c>
      <c r="K29" s="3" t="inlineStr"/>
      <c r="L29" s="3" t="inlineStr"/>
      <c r="M29" s="3" t="inlineStr"/>
    </row>
    <row r="30" ht="58" customHeight="1">
      <c r="A30" s="3" t="inlineStr">
        <is>
          <t>UAT-TJ-005</t>
        </is>
      </c>
      <c r="B30" s="3" t="inlineStr">
        <is>
          <t>Tasting Journal</t>
        </is>
      </c>
      <c r="C30" s="3" t="inlineStr">
        <is>
          <t>Edit Existing Note</t>
        </is>
      </c>
      <c r="D30" s="3" t="inlineStr">
        <is>
          <t>Guest/User</t>
        </is>
      </c>
      <c r="E30" s="3" t="inlineStr">
        <is>
          <t>At least one note exists</t>
        </is>
      </c>
      <c r="F30" s="3" t="inlineStr">
        <is>
          <t>Functional</t>
        </is>
      </c>
      <c r="G30" s="3" t="inlineStr">
        <is>
          <t>P1</t>
        </is>
      </c>
      <c r="H30" s="3" t="inlineStr">
        <is>
          <t>1. Open note in review.
2. Click Edit.
3. Update and save.</t>
        </is>
      </c>
      <c r="I30" s="3" t="inlineStr">
        <is>
          <t>Updated values persist and are reflected in review.</t>
        </is>
      </c>
      <c r="J30" s="3" t="inlineStr">
        <is>
          <t>Not Run</t>
        </is>
      </c>
      <c r="K30" s="3" t="inlineStr"/>
      <c r="L30" s="3" t="inlineStr"/>
      <c r="M30" s="3" t="inlineStr"/>
    </row>
    <row r="31" ht="58" customHeight="1">
      <c r="A31" s="3" t="inlineStr">
        <is>
          <t>UAT-TJ-006</t>
        </is>
      </c>
      <c r="B31" s="3" t="inlineStr">
        <is>
          <t>Tasting Journal</t>
        </is>
      </c>
      <c r="C31" s="3" t="inlineStr">
        <is>
          <t>Delete Note</t>
        </is>
      </c>
      <c r="D31" s="3" t="inlineStr">
        <is>
          <t>Guest/User</t>
        </is>
      </c>
      <c r="E31" s="3" t="inlineStr">
        <is>
          <t>At least one note exists</t>
        </is>
      </c>
      <c r="F31" s="3" t="inlineStr">
        <is>
          <t>Functional</t>
        </is>
      </c>
      <c r="G31" s="3" t="inlineStr">
        <is>
          <t>P1</t>
        </is>
      </c>
      <c r="H31" s="3" t="inlineStr">
        <is>
          <t>1. Delete a note from review list.</t>
        </is>
      </c>
      <c r="I31" s="3" t="inlineStr">
        <is>
          <t>Note is removed and analytics map counts update accordingly.</t>
        </is>
      </c>
      <c r="J31" s="3" t="inlineStr">
        <is>
          <t>Not Run</t>
        </is>
      </c>
      <c r="K31" s="3" t="inlineStr"/>
      <c r="L31" s="3" t="inlineStr"/>
      <c r="M31" s="3" t="inlineStr"/>
    </row>
    <row r="32" ht="58" customHeight="1">
      <c r="A32" s="3" t="inlineStr">
        <is>
          <t>UAT-TJ-007</t>
        </is>
      </c>
      <c r="B32" s="3" t="inlineStr">
        <is>
          <t>Tasting Journal</t>
        </is>
      </c>
      <c r="C32" s="3" t="inlineStr">
        <is>
          <t>PDF Export</t>
        </is>
      </c>
      <c r="D32" s="3" t="inlineStr">
        <is>
          <t>Guest/User</t>
        </is>
      </c>
      <c r="E32" s="3" t="inlineStr">
        <is>
          <t>At least one note exists</t>
        </is>
      </c>
      <c r="F32" s="3" t="inlineStr">
        <is>
          <t>Functional</t>
        </is>
      </c>
      <c r="G32" s="3" t="inlineStr">
        <is>
          <t>P2</t>
        </is>
      </c>
      <c r="H32" s="3" t="inlineStr">
        <is>
          <t>1. Select one or more notes.
2. Click Export PDF.</t>
        </is>
      </c>
      <c r="I32" s="3" t="inlineStr">
        <is>
          <t>Printable document window opens with selected notes.</t>
        </is>
      </c>
      <c r="J32" s="3" t="inlineStr">
        <is>
          <t>Not Run</t>
        </is>
      </c>
      <c r="K32" s="3" t="inlineStr"/>
      <c r="L32" s="3" t="inlineStr"/>
      <c r="M32" s="3" t="inlineStr"/>
    </row>
    <row r="33" ht="58" customHeight="1">
      <c r="A33" s="3" t="inlineStr">
        <is>
          <t>UAT-TJ-008</t>
        </is>
      </c>
      <c r="B33" s="3" t="inlineStr">
        <is>
          <t>Tasting Journal</t>
        </is>
      </c>
      <c r="C33" s="3" t="inlineStr">
        <is>
          <t>Analytics Calculations</t>
        </is>
      </c>
      <c r="D33" s="3" t="inlineStr">
        <is>
          <t>Guest/User</t>
        </is>
      </c>
      <c r="E33" s="3" t="inlineStr">
        <is>
          <t>At least three notes including blind entries</t>
        </is>
      </c>
      <c r="F33" s="3" t="inlineStr">
        <is>
          <t>Functional</t>
        </is>
      </c>
      <c r="G33" s="3" t="inlineStr">
        <is>
          <t>P1</t>
        </is>
      </c>
      <c r="H33" s="3" t="inlineStr">
        <is>
          <t>1. Open Analytics tab.</t>
        </is>
      </c>
      <c r="I33" s="3" t="inlineStr">
        <is>
          <t>Counts and accuracy recommendations reflect data.</t>
        </is>
      </c>
      <c r="J33" s="3" t="inlineStr">
        <is>
          <t>Not Run</t>
        </is>
      </c>
      <c r="K33" s="3" t="inlineStr"/>
      <c r="L33" s="3" t="inlineStr"/>
      <c r="M33" s="3" t="inlineStr"/>
    </row>
    <row r="34" ht="58" customHeight="1">
      <c r="A34" s="3" t="inlineStr">
        <is>
          <t>UAT-TJ-009</t>
        </is>
      </c>
      <c r="B34" s="3" t="inlineStr">
        <is>
          <t>Tasting Journal</t>
        </is>
      </c>
      <c r="C34" s="3" t="inlineStr">
        <is>
          <t>Regions Map Interaction</t>
        </is>
      </c>
      <c r="D34" s="3" t="inlineStr">
        <is>
          <t>Guest/User</t>
        </is>
      </c>
      <c r="E34" s="3" t="inlineStr">
        <is>
          <t>At least one note with country</t>
        </is>
      </c>
      <c r="F34" s="3" t="inlineStr">
        <is>
          <t>Functional</t>
        </is>
      </c>
      <c r="G34" s="3" t="inlineStr">
        <is>
          <t>P2</t>
        </is>
      </c>
      <c r="H34" s="3" t="inlineStr">
        <is>
          <t>1. Open Regions Map tab.
2. Click highlighted country.
3. Use search in directory.</t>
        </is>
      </c>
      <c r="I34" s="3" t="inlineStr">
        <is>
          <t>Map selection filters directory and searchable list updates.</t>
        </is>
      </c>
      <c r="J34" s="3" t="inlineStr">
        <is>
          <t>Not Run</t>
        </is>
      </c>
      <c r="K34" s="3" t="inlineStr"/>
      <c r="L34" s="3" t="inlineStr"/>
      <c r="M34" s="3" t="inlineStr"/>
    </row>
    <row r="35" ht="58" customHeight="1">
      <c r="A35" s="3" t="inlineStr">
        <is>
          <t>UAT-TG-001</t>
        </is>
      </c>
      <c r="B35" s="3" t="inlineStr">
        <is>
          <t>Tasting Groups</t>
        </is>
      </c>
      <c r="C35" s="3" t="inlineStr">
        <is>
          <t>Groups List and Detail Sync</t>
        </is>
      </c>
      <c r="D35" s="3" t="inlineStr">
        <is>
          <t>Guest/User</t>
        </is>
      </c>
      <c r="E35" s="3" t="inlineStr">
        <is>
          <t>Tasting Groups tab open</t>
        </is>
      </c>
      <c r="F35" s="3" t="inlineStr">
        <is>
          <t>Functional</t>
        </is>
      </c>
      <c r="G35" s="3" t="inlineStr">
        <is>
          <t>P1</t>
        </is>
      </c>
      <c r="H35" s="3" t="inlineStr">
        <is>
          <t>1. Click different groups in sidebar list.</t>
        </is>
      </c>
      <c r="I35" s="3" t="inlineStr">
        <is>
          <t>Main detail panel, meetup list, and feed preview sync to selected group.</t>
        </is>
      </c>
      <c r="J35" s="3" t="inlineStr">
        <is>
          <t>Not Run</t>
        </is>
      </c>
      <c r="K35" s="3" t="inlineStr"/>
      <c r="L35" s="3" t="inlineStr"/>
      <c r="M35" s="3" t="inlineStr"/>
    </row>
    <row r="36" ht="58" customHeight="1">
      <c r="A36" s="3" t="inlineStr">
        <is>
          <t>UAT-TG-002</t>
        </is>
      </c>
      <c r="B36" s="3" t="inlineStr">
        <is>
          <t>Tasting Groups</t>
        </is>
      </c>
      <c r="C36" s="3" t="inlineStr">
        <is>
          <t>Search Fuzzy Location Alias</t>
        </is>
      </c>
      <c r="D36" s="3" t="inlineStr">
        <is>
          <t>Guest/User</t>
        </is>
      </c>
      <c r="E36" s="3" t="inlineStr">
        <is>
          <t>Tasting Groups tab open</t>
        </is>
      </c>
      <c r="F36" s="3" t="inlineStr">
        <is>
          <t>Functional</t>
        </is>
      </c>
      <c r="G36" s="3" t="inlineStr">
        <is>
          <t>P1</t>
        </is>
      </c>
      <c r="H36" s="3" t="inlineStr">
        <is>
          <t>1. Search full state name for group stored as abbreviation.</t>
        </is>
      </c>
      <c r="I36" s="3" t="inlineStr">
        <is>
          <t>Matching group appears even when state format differs.</t>
        </is>
      </c>
      <c r="J36" s="3" t="inlineStr">
        <is>
          <t>Not Run</t>
        </is>
      </c>
      <c r="K36" s="3" t="inlineStr"/>
      <c r="L36" s="3" t="inlineStr"/>
      <c r="M36" s="3" t="inlineStr"/>
    </row>
    <row r="37" ht="58" customHeight="1">
      <c r="A37" s="3" t="inlineStr">
        <is>
          <t>UAT-TG-003</t>
        </is>
      </c>
      <c r="B37" s="3" t="inlineStr">
        <is>
          <t>Tasting Groups</t>
        </is>
      </c>
      <c r="C37" s="3" t="inlineStr">
        <is>
          <t>Focus Filter</t>
        </is>
      </c>
      <c r="D37" s="3" t="inlineStr">
        <is>
          <t>Guest/User</t>
        </is>
      </c>
      <c r="E37" s="3" t="inlineStr">
        <is>
          <t>Tasting Groups tab open</t>
        </is>
      </c>
      <c r="F37" s="3" t="inlineStr">
        <is>
          <t>Functional</t>
        </is>
      </c>
      <c r="G37" s="3" t="inlineStr">
        <is>
          <t>P2</t>
        </is>
      </c>
      <c r="H37" s="3" t="inlineStr">
        <is>
          <t>1. Change Focus dropdown.</t>
        </is>
      </c>
      <c r="I37" s="3" t="inlineStr">
        <is>
          <t>List updates to groups with selected focus type only.</t>
        </is>
      </c>
      <c r="J37" s="3" t="inlineStr">
        <is>
          <t>Not Run</t>
        </is>
      </c>
      <c r="K37" s="3" t="inlineStr"/>
      <c r="L37" s="3" t="inlineStr"/>
      <c r="M37" s="3" t="inlineStr"/>
    </row>
    <row r="38" ht="58" customHeight="1">
      <c r="A38" s="3" t="inlineStr">
        <is>
          <t>UAT-TG-004</t>
        </is>
      </c>
      <c r="B38" s="3" t="inlineStr">
        <is>
          <t>Tasting Groups</t>
        </is>
      </c>
      <c r="C38" s="3" t="inlineStr">
        <is>
          <t>Create Group Mock</t>
        </is>
      </c>
      <c r="D38" s="3" t="inlineStr">
        <is>
          <t>Guest/User</t>
        </is>
      </c>
      <c r="E38" s="3" t="inlineStr">
        <is>
          <t>Tasting Groups tab open</t>
        </is>
      </c>
      <c r="F38" s="3" t="inlineStr">
        <is>
          <t>Functional</t>
        </is>
      </c>
      <c r="G38" s="3" t="inlineStr">
        <is>
          <t>P1</t>
        </is>
      </c>
      <c r="H38" s="3" t="inlineStr">
        <is>
          <t>1. Fill Create Group form.
2. Submit.</t>
        </is>
      </c>
      <c r="I38" s="3" t="inlineStr">
        <is>
          <t>New group appears in list and selection moves to created group.</t>
        </is>
      </c>
      <c r="J38" s="3" t="inlineStr">
        <is>
          <t>Not Run</t>
        </is>
      </c>
      <c r="K38" s="3" t="inlineStr"/>
      <c r="L38" s="3" t="inlineStr"/>
      <c r="M38" s="3" t="inlineStr"/>
    </row>
    <row r="39" ht="58" customHeight="1">
      <c r="A39" s="3" t="inlineStr">
        <is>
          <t>UAT-TG-005</t>
        </is>
      </c>
      <c r="B39" s="3" t="inlineStr">
        <is>
          <t>Tasting Groups</t>
        </is>
      </c>
      <c r="C39" s="3" t="inlineStr">
        <is>
          <t>Map Pin City Filter</t>
        </is>
      </c>
      <c r="D39" s="3" t="inlineStr">
        <is>
          <t>Guest/User</t>
        </is>
      </c>
      <c r="E39" s="3" t="inlineStr">
        <is>
          <t>Tasting Groups map loaded</t>
        </is>
      </c>
      <c r="F39" s="3" t="inlineStr">
        <is>
          <t>Functional</t>
        </is>
      </c>
      <c r="G39" s="3" t="inlineStr">
        <is>
          <t>P1</t>
        </is>
      </c>
      <c r="H39" s="3" t="inlineStr">
        <is>
          <t>1. Click a green city pin.</t>
        </is>
      </c>
      <c r="I39" s="3" t="inlineStr">
        <is>
          <t>City filter activates and list is constrained to that city.</t>
        </is>
      </c>
      <c r="J39" s="3" t="inlineStr">
        <is>
          <t>Not Run</t>
        </is>
      </c>
      <c r="K39" s="3" t="inlineStr"/>
      <c r="L39" s="3" t="inlineStr"/>
      <c r="M39" s="3" t="inlineStr"/>
    </row>
    <row r="40" ht="58" customHeight="1">
      <c r="A40" s="3" t="inlineStr">
        <is>
          <t>UAT-TG-006</t>
        </is>
      </c>
      <c r="B40" s="3" t="inlineStr">
        <is>
          <t>Tasting Groups</t>
        </is>
      </c>
      <c r="C40" s="3" t="inlineStr">
        <is>
          <t>Map Controls Fit Globe Zoom</t>
        </is>
      </c>
      <c r="D40" s="3" t="inlineStr">
        <is>
          <t>Guest/User</t>
        </is>
      </c>
      <c r="E40" s="3" t="inlineStr">
        <is>
          <t>Tasting Groups map loaded</t>
        </is>
      </c>
      <c r="F40" s="3" t="inlineStr">
        <is>
          <t>Functional</t>
        </is>
      </c>
      <c r="G40" s="3" t="inlineStr">
        <is>
          <t>P1</t>
        </is>
      </c>
      <c r="H40" s="3" t="inlineStr">
        <is>
          <t>1. Click Fit.
2. Click Globe.
3. Use + and -.</t>
        </is>
      </c>
      <c r="I40" s="3" t="inlineStr">
        <is>
          <t>Fit frames active groups, Globe shows world view, zoom adjusts viewport.</t>
        </is>
      </c>
      <c r="J40" s="3" t="inlineStr">
        <is>
          <t>Not Run</t>
        </is>
      </c>
      <c r="K40" s="3" t="inlineStr"/>
      <c r="L40" s="3" t="inlineStr"/>
      <c r="M40" s="3" t="inlineStr"/>
    </row>
    <row r="41" ht="58" customHeight="1">
      <c r="A41" s="3" t="inlineStr">
        <is>
          <t>UAT-TG-007</t>
        </is>
      </c>
      <c r="B41" s="3" t="inlineStr">
        <is>
          <t>Tasting Groups</t>
        </is>
      </c>
      <c r="C41" s="3" t="inlineStr">
        <is>
          <t>Zoom Ceiling</t>
        </is>
      </c>
      <c r="D41" s="3" t="inlineStr">
        <is>
          <t>Guest/User</t>
        </is>
      </c>
      <c r="E41" s="3" t="inlineStr">
        <is>
          <t>Map loaded</t>
        </is>
      </c>
      <c r="F41" s="3" t="inlineStr">
        <is>
          <t>Regression</t>
        </is>
      </c>
      <c r="G41" s="3" t="inlineStr">
        <is>
          <t>P2</t>
        </is>
      </c>
      <c r="H41" s="3" t="inlineStr">
        <is>
          <t>1. Zoom in repeatedly to max.</t>
        </is>
      </c>
      <c r="I41" s="3" t="inlineStr">
        <is>
          <t>Maximum zoom reaches 600 percent and control disables at top bound.</t>
        </is>
      </c>
      <c r="J41" s="3" t="inlineStr">
        <is>
          <t>Not Run</t>
        </is>
      </c>
      <c r="K41" s="3" t="inlineStr"/>
      <c r="L41" s="3" t="inlineStr"/>
      <c r="M41" s="3" t="inlineStr"/>
    </row>
    <row r="42" ht="58" customHeight="1">
      <c r="A42" s="3" t="inlineStr">
        <is>
          <t>UAT-TG-008</t>
        </is>
      </c>
      <c r="B42" s="3" t="inlineStr">
        <is>
          <t>Tasting Groups</t>
        </is>
      </c>
      <c r="C42" s="3" t="inlineStr">
        <is>
          <t>Pin Stroke Scaling</t>
        </is>
      </c>
      <c r="D42" s="3" t="inlineStr">
        <is>
          <t>Guest/User</t>
        </is>
      </c>
      <c r="E42" s="3" t="inlineStr">
        <is>
          <t>Map loaded</t>
        </is>
      </c>
      <c r="F42" s="3" t="inlineStr">
        <is>
          <t>UI</t>
        </is>
      </c>
      <c r="G42" s="3" t="inlineStr">
        <is>
          <t>P2</t>
        </is>
      </c>
      <c r="H42" s="3" t="inlineStr">
        <is>
          <t>1. Compare pin and border sizes at Fit, Globe, high zoom.</t>
        </is>
      </c>
      <c r="I42" s="3" t="inlineStr">
        <is>
          <t>Pins and strokes remain proportional and not oversized in fit mode.</t>
        </is>
      </c>
      <c r="J42" s="3" t="inlineStr">
        <is>
          <t>Not Run</t>
        </is>
      </c>
      <c r="K42" s="3" t="inlineStr"/>
      <c r="L42" s="3" t="inlineStr"/>
      <c r="M42" s="3" t="inlineStr"/>
    </row>
    <row r="43" ht="58" customHeight="1">
      <c r="A43" s="3" t="inlineStr">
        <is>
          <t>UAT-TG-009</t>
        </is>
      </c>
      <c r="B43" s="3" t="inlineStr">
        <is>
          <t>Tasting Groups</t>
        </is>
      </c>
      <c r="C43" s="3" t="inlineStr">
        <is>
          <t>Enhanced Detail Layer Fallback</t>
        </is>
      </c>
      <c r="D43" s="3" t="inlineStr">
        <is>
          <t>Guest/User</t>
        </is>
      </c>
      <c r="E43" s="3" t="inlineStr">
        <is>
          <t>Map loaded and zoom at least 135 percent</t>
        </is>
      </c>
      <c r="F43" s="3" t="inlineStr">
        <is>
          <t>Functional</t>
        </is>
      </c>
      <c r="G43" s="3" t="inlineStr">
        <is>
          <t>P3</t>
        </is>
      </c>
      <c r="H43" s="3" t="inlineStr">
        <is>
          <t>1. Zoom above detail threshold.</t>
        </is>
      </c>
      <c r="I43" s="3" t="inlineStr">
        <is>
          <t>If detail layers fail, base map still works and fallback message is shown.</t>
        </is>
      </c>
      <c r="J43" s="3" t="inlineStr">
        <is>
          <t>Not Run</t>
        </is>
      </c>
      <c r="K43" s="3" t="inlineStr"/>
      <c r="L43" s="3" t="inlineStr"/>
      <c r="M43" s="3" t="inlineStr"/>
    </row>
    <row r="44" ht="58" customHeight="1">
      <c r="A44" s="3" t="inlineStr">
        <is>
          <t>UAT-BQ-001</t>
        </is>
      </c>
      <c r="B44" s="3" t="inlineStr">
        <is>
          <t>Beverage Quiz</t>
        </is>
      </c>
      <c r="C44" s="3" t="inlineStr">
        <is>
          <t>Quiz Generation</t>
        </is>
      </c>
      <c r="D44" s="3" t="inlineStr">
        <is>
          <t>Guest/User</t>
        </is>
      </c>
      <c r="E44" s="3" t="inlineStr">
        <is>
          <t>Beverage Quiz tab open</t>
        </is>
      </c>
      <c r="F44" s="3" t="inlineStr">
        <is>
          <t>Functional</t>
        </is>
      </c>
      <c r="G44" s="3" t="inlineStr">
        <is>
          <t>P1</t>
        </is>
      </c>
      <c r="H44" s="3" t="inlineStr">
        <is>
          <t>1. Select beverage and options.
2. Generate quiz.</t>
        </is>
      </c>
      <c r="I44" s="3" t="inlineStr">
        <is>
          <t>Question set is generated and shown with options.</t>
        </is>
      </c>
      <c r="J44" s="3" t="inlineStr">
        <is>
          <t>Not Run</t>
        </is>
      </c>
      <c r="K44" s="3" t="inlineStr"/>
      <c r="L44" s="3" t="inlineStr"/>
      <c r="M44" s="3" t="inlineStr"/>
    </row>
    <row r="45" ht="58" customHeight="1">
      <c r="A45" s="3" t="inlineStr">
        <is>
          <t>UAT-BQ-002</t>
        </is>
      </c>
      <c r="B45" s="3" t="inlineStr">
        <is>
          <t>Beverage Quiz</t>
        </is>
      </c>
      <c r="C45" s="3" t="inlineStr">
        <is>
          <t>Answer Selection</t>
        </is>
      </c>
      <c r="D45" s="3" t="inlineStr">
        <is>
          <t>Guest/User</t>
        </is>
      </c>
      <c r="E45" s="3" t="inlineStr">
        <is>
          <t>Quiz generated</t>
        </is>
      </c>
      <c r="F45" s="3" t="inlineStr">
        <is>
          <t>Functional</t>
        </is>
      </c>
      <c r="G45" s="3" t="inlineStr">
        <is>
          <t>P1</t>
        </is>
      </c>
      <c r="H45" s="3" t="inlineStr">
        <is>
          <t>1. Select answers for multiple questions.</t>
        </is>
      </c>
      <c r="I45" s="3" t="inlineStr">
        <is>
          <t>Selections persist and current choices are highlighted.</t>
        </is>
      </c>
      <c r="J45" s="3" t="inlineStr">
        <is>
          <t>Not Run</t>
        </is>
      </c>
      <c r="K45" s="3" t="inlineStr"/>
      <c r="L45" s="3" t="inlineStr"/>
      <c r="M45" s="3" t="inlineStr"/>
    </row>
    <row r="46" ht="58" customHeight="1">
      <c r="A46" s="3" t="inlineStr">
        <is>
          <t>UAT-BQ-003</t>
        </is>
      </c>
      <c r="B46" s="3" t="inlineStr">
        <is>
          <t>Beverage Quiz</t>
        </is>
      </c>
      <c r="C46" s="3" t="inlineStr">
        <is>
          <t>Scoring and Reveal</t>
        </is>
      </c>
      <c r="D46" s="3" t="inlineStr">
        <is>
          <t>Guest/User</t>
        </is>
      </c>
      <c r="E46" s="3" t="inlineStr">
        <is>
          <t>Quiz answered</t>
        </is>
      </c>
      <c r="F46" s="3" t="inlineStr">
        <is>
          <t>Functional</t>
        </is>
      </c>
      <c r="G46" s="3" t="inlineStr">
        <is>
          <t>P1</t>
        </is>
      </c>
      <c r="H46" s="3" t="inlineStr">
        <is>
          <t>1. Submit score.
2. Reveal answers or explanations.</t>
        </is>
      </c>
      <c r="I46" s="3" t="inlineStr">
        <is>
          <t>Score and correctness indicators display accurately.</t>
        </is>
      </c>
      <c r="J46" s="3" t="inlineStr">
        <is>
          <t>Not Run</t>
        </is>
      </c>
      <c r="K46" s="3" t="inlineStr"/>
      <c r="L46" s="3" t="inlineStr"/>
      <c r="M46" s="3" t="inlineStr"/>
    </row>
    <row r="47" ht="58" customHeight="1">
      <c r="A47" s="3" t="inlineStr">
        <is>
          <t>UAT-BQ-004</t>
        </is>
      </c>
      <c r="B47" s="3" t="inlineStr">
        <is>
          <t>Beverage Quiz</t>
        </is>
      </c>
      <c r="C47" s="3" t="inlineStr">
        <is>
          <t>Printable Quiz Export</t>
        </is>
      </c>
      <c r="D47" s="3" t="inlineStr">
        <is>
          <t>Guest/User</t>
        </is>
      </c>
      <c r="E47" s="3" t="inlineStr">
        <is>
          <t>Quiz generated</t>
        </is>
      </c>
      <c r="F47" s="3" t="inlineStr">
        <is>
          <t>Functional</t>
        </is>
      </c>
      <c r="G47" s="3" t="inlineStr">
        <is>
          <t>P2</t>
        </is>
      </c>
      <c r="H47" s="3" t="inlineStr">
        <is>
          <t>1. Use printable export action.</t>
        </is>
      </c>
      <c r="I47" s="3" t="inlineStr">
        <is>
          <t>Printable window PDF flow opens with quiz details.</t>
        </is>
      </c>
      <c r="J47" s="3" t="inlineStr">
        <is>
          <t>Not Run</t>
        </is>
      </c>
      <c r="K47" s="3" t="inlineStr"/>
      <c r="L47" s="3" t="inlineStr"/>
      <c r="M47" s="3" t="inlineStr"/>
    </row>
    <row r="48" ht="58" customHeight="1">
      <c r="A48" s="3" t="inlineStr">
        <is>
          <t>UAT-BQ-005</t>
        </is>
      </c>
      <c r="B48" s="3" t="inlineStr">
        <is>
          <t>Beverage Quiz</t>
        </is>
      </c>
      <c r="C48" s="3" t="inlineStr">
        <is>
          <t>Email Share Draft</t>
        </is>
      </c>
      <c r="D48" s="3" t="inlineStr">
        <is>
          <t>Guest/User</t>
        </is>
      </c>
      <c r="E48" s="3" t="inlineStr">
        <is>
          <t>Quiz complete</t>
        </is>
      </c>
      <c r="F48" s="3" t="inlineStr">
        <is>
          <t>Functional</t>
        </is>
      </c>
      <c r="G48" s="3" t="inlineStr">
        <is>
          <t>P3</t>
        </is>
      </c>
      <c r="H48" s="3" t="inlineStr">
        <is>
          <t>1. Enter recipient email and trigger share flow.</t>
        </is>
      </c>
      <c r="I48" s="3" t="inlineStr">
        <is>
          <t>Share flow validates input and prepares output without errors.</t>
        </is>
      </c>
      <c r="J48" s="3" t="inlineStr">
        <is>
          <t>Not Run</t>
        </is>
      </c>
      <c r="K48" s="3" t="inlineStr"/>
      <c r="L48" s="3" t="inlineStr"/>
      <c r="M48" s="3" t="inlineStr"/>
    </row>
    <row r="49" ht="58" customHeight="1">
      <c r="A49" s="3" t="inlineStr">
        <is>
          <t>UAT-BN-001</t>
        </is>
      </c>
      <c r="B49" s="3" t="inlineStr">
        <is>
          <t>Beverage News</t>
        </is>
      </c>
      <c r="C49" s="3" t="inlineStr">
        <is>
          <t>News Load and Refresh</t>
        </is>
      </c>
      <c r="D49" s="3" t="inlineStr">
        <is>
          <t>Guest/User</t>
        </is>
      </c>
      <c r="E49" s="3" t="inlineStr">
        <is>
          <t>Beverage News tab open</t>
        </is>
      </c>
      <c r="F49" s="3" t="inlineStr">
        <is>
          <t>Functional</t>
        </is>
      </c>
      <c r="G49" s="3" t="inlineStr">
        <is>
          <t>P1</t>
        </is>
      </c>
      <c r="H49" s="3" t="inlineStr">
        <is>
          <t>1. Load page.
2. Trigger refresh.</t>
        </is>
      </c>
      <c r="I49" s="3" t="inlineStr">
        <is>
          <t>News cards load and refresh action updates stable UI states.</t>
        </is>
      </c>
      <c r="J49" s="3" t="inlineStr">
        <is>
          <t>Not Run</t>
        </is>
      </c>
      <c r="K49" s="3" t="inlineStr"/>
      <c r="L49" s="3" t="inlineStr"/>
      <c r="M49" s="3" t="inlineStr"/>
    </row>
    <row r="50" ht="58" customHeight="1">
      <c r="A50" s="3" t="inlineStr">
        <is>
          <t>UAT-BN-002</t>
        </is>
      </c>
      <c r="B50" s="3" t="inlineStr">
        <is>
          <t>Beverage News</t>
        </is>
      </c>
      <c r="C50" s="3" t="inlineStr">
        <is>
          <t>Source Category Filters</t>
        </is>
      </c>
      <c r="D50" s="3" t="inlineStr">
        <is>
          <t>Guest/User</t>
        </is>
      </c>
      <c r="E50" s="3" t="inlineStr">
        <is>
          <t>News loaded</t>
        </is>
      </c>
      <c r="F50" s="3" t="inlineStr">
        <is>
          <t>Functional</t>
        </is>
      </c>
      <c r="G50" s="3" t="inlineStr">
        <is>
          <t>P1</t>
        </is>
      </c>
      <c r="H50" s="3" t="inlineStr">
        <is>
          <t>1. Toggle category chips.</t>
        </is>
      </c>
      <c r="I50" s="3" t="inlineStr">
        <is>
          <t>Cards are filtered by selected source categories.</t>
        </is>
      </c>
      <c r="J50" s="3" t="inlineStr">
        <is>
          <t>Not Run</t>
        </is>
      </c>
      <c r="K50" s="3" t="inlineStr"/>
      <c r="L50" s="3" t="inlineStr"/>
      <c r="M50" s="3" t="inlineStr"/>
    </row>
    <row r="51" ht="58" customHeight="1">
      <c r="A51" s="3" t="inlineStr">
        <is>
          <t>UAT-BN-003</t>
        </is>
      </c>
      <c r="B51" s="3" t="inlineStr">
        <is>
          <t>Beverage News</t>
        </is>
      </c>
      <c r="C51" s="3" t="inlineStr">
        <is>
          <t>Per Source Toggles</t>
        </is>
      </c>
      <c r="D51" s="3" t="inlineStr">
        <is>
          <t>Guest/User</t>
        </is>
      </c>
      <c r="E51" s="3" t="inlineStr">
        <is>
          <t>News loaded</t>
        </is>
      </c>
      <c r="F51" s="3" t="inlineStr">
        <is>
          <t>Functional</t>
        </is>
      </c>
      <c r="G51" s="3" t="inlineStr">
        <is>
          <t>P2</t>
        </is>
      </c>
      <c r="H51" s="3" t="inlineStr">
        <is>
          <t>1. Enable disable specific source chips.</t>
        </is>
      </c>
      <c r="I51" s="3" t="inlineStr">
        <is>
          <t>Result list updates to source inclusion exclusion.</t>
        </is>
      </c>
      <c r="J51" s="3" t="inlineStr">
        <is>
          <t>Not Run</t>
        </is>
      </c>
      <c r="K51" s="3" t="inlineStr"/>
      <c r="L51" s="3" t="inlineStr"/>
      <c r="M51" s="3" t="inlineStr"/>
    </row>
    <row r="52" ht="58" customHeight="1">
      <c r="A52" s="3" t="inlineStr">
        <is>
          <t>UAT-BN-004</t>
        </is>
      </c>
      <c r="B52" s="3" t="inlineStr">
        <is>
          <t>Beverage News</t>
        </is>
      </c>
      <c r="C52" s="3" t="inlineStr">
        <is>
          <t>Pagination</t>
        </is>
      </c>
      <c r="D52" s="3" t="inlineStr">
        <is>
          <t>Guest/User</t>
        </is>
      </c>
      <c r="E52" s="3" t="inlineStr">
        <is>
          <t>News results exceed one page</t>
        </is>
      </c>
      <c r="F52" s="3" t="inlineStr">
        <is>
          <t>Functional</t>
        </is>
      </c>
      <c r="G52" s="3" t="inlineStr">
        <is>
          <t>P2</t>
        </is>
      </c>
      <c r="H52" s="3" t="inlineStr">
        <is>
          <t>1. Move between pages.</t>
        </is>
      </c>
      <c r="I52" s="3" t="inlineStr">
        <is>
          <t>Pagination updates page index and cards correctly.</t>
        </is>
      </c>
      <c r="J52" s="3" t="inlineStr">
        <is>
          <t>Not Run</t>
        </is>
      </c>
      <c r="K52" s="3" t="inlineStr"/>
      <c r="L52" s="3" t="inlineStr"/>
      <c r="M52" s="3" t="inlineStr"/>
    </row>
    <row r="53" ht="58" customHeight="1">
      <c r="A53" s="3" t="inlineStr">
        <is>
          <t>UAT-BN-005</t>
        </is>
      </c>
      <c r="B53" s="3" t="inlineStr">
        <is>
          <t>Beverage News</t>
        </is>
      </c>
      <c r="C53" s="3" t="inlineStr">
        <is>
          <t>Card Outbound Links</t>
        </is>
      </c>
      <c r="D53" s="3" t="inlineStr">
        <is>
          <t>Guest/User</t>
        </is>
      </c>
      <c r="E53" s="3" t="inlineStr">
        <is>
          <t>News cards visible</t>
        </is>
      </c>
      <c r="F53" s="3" t="inlineStr">
        <is>
          <t>Functional</t>
        </is>
      </c>
      <c r="G53" s="3" t="inlineStr">
        <is>
          <t>P3</t>
        </is>
      </c>
      <c r="H53" s="3" t="inlineStr">
        <is>
          <t>1. Open a news source or article link.</t>
        </is>
      </c>
      <c r="I53" s="3" t="inlineStr">
        <is>
          <t>Link opens target content in new tab or window.</t>
        </is>
      </c>
      <c r="J53" s="3" t="inlineStr">
        <is>
          <t>Not Run</t>
        </is>
      </c>
      <c r="K53" s="3" t="inlineStr"/>
      <c r="L53" s="3" t="inlineStr"/>
      <c r="M53" s="3" t="inlineStr"/>
    </row>
    <row r="54" ht="58" customHeight="1">
      <c r="A54" s="3" t="inlineStr">
        <is>
          <t>UAT-REG-001</t>
        </is>
      </c>
      <c r="B54" s="3" t="inlineStr">
        <is>
          <t>Regions</t>
        </is>
      </c>
      <c r="C54" s="3" t="inlineStr">
        <is>
          <t>Continent Jump Navigation</t>
        </is>
      </c>
      <c r="D54" s="3" t="inlineStr">
        <is>
          <t>Guest/User</t>
        </is>
      </c>
      <c r="E54" s="3" t="inlineStr">
        <is>
          <t>Regions tab open</t>
        </is>
      </c>
      <c r="F54" s="3" t="inlineStr">
        <is>
          <t>Functional</t>
        </is>
      </c>
      <c r="G54" s="3" t="inlineStr">
        <is>
          <t>P1</t>
        </is>
      </c>
      <c r="H54" s="3" t="inlineStr">
        <is>
          <t>1. Click continent jump chips.</t>
        </is>
      </c>
      <c r="I54" s="3" t="inlineStr">
        <is>
          <t>Page jumps to corresponding continent section.</t>
        </is>
      </c>
      <c r="J54" s="3" t="inlineStr">
        <is>
          <t>Not Run</t>
        </is>
      </c>
      <c r="K54" s="3" t="inlineStr"/>
      <c r="L54" s="3" t="inlineStr"/>
      <c r="M54" s="3" t="inlineStr"/>
    </row>
    <row r="55" ht="58" customHeight="1">
      <c r="A55" s="3" t="inlineStr">
        <is>
          <t>UAT-REG-002</t>
        </is>
      </c>
      <c r="B55" s="3" t="inlineStr">
        <is>
          <t>Regions</t>
        </is>
      </c>
      <c r="C55" s="3" t="inlineStr">
        <is>
          <t>Country Card to Detail</t>
        </is>
      </c>
      <c r="D55" s="3" t="inlineStr">
        <is>
          <t>Guest/User</t>
        </is>
      </c>
      <c r="E55" s="3" t="inlineStr">
        <is>
          <t>Regions list visible</t>
        </is>
      </c>
      <c r="F55" s="3" t="inlineStr">
        <is>
          <t>Functional</t>
        </is>
      </c>
      <c r="G55" s="3" t="inlineStr">
        <is>
          <t>P1</t>
        </is>
      </c>
      <c r="H55" s="3" t="inlineStr">
        <is>
          <t>1. Open a country from regions list.</t>
        </is>
      </c>
      <c r="I55" s="3" t="inlineStr">
        <is>
          <t>Country detail route opens with hero and structured sections.</t>
        </is>
      </c>
      <c r="J55" s="3" t="inlineStr">
        <is>
          <t>Not Run</t>
        </is>
      </c>
      <c r="K55" s="3" t="inlineStr"/>
      <c r="L55" s="3" t="inlineStr"/>
      <c r="M55" s="3" t="inlineStr"/>
    </row>
    <row r="56" ht="58" customHeight="1">
      <c r="A56" s="3" t="inlineStr">
        <is>
          <t>UAT-REG-003</t>
        </is>
      </c>
      <c r="B56" s="3" t="inlineStr">
        <is>
          <t>Regions</t>
        </is>
      </c>
      <c r="C56" s="3" t="inlineStr">
        <is>
          <t>Country Carousel</t>
        </is>
      </c>
      <c r="D56" s="3" t="inlineStr">
        <is>
          <t>Guest/User</t>
        </is>
      </c>
      <c r="E56" s="3" t="inlineStr">
        <is>
          <t>Country detail page open</t>
        </is>
      </c>
      <c r="F56" s="3" t="inlineStr">
        <is>
          <t>Functional</t>
        </is>
      </c>
      <c r="G56" s="3" t="inlineStr">
        <is>
          <t>P2</t>
        </is>
      </c>
      <c r="H56" s="3" t="inlineStr">
        <is>
          <t>1. Use region carousel controls.</t>
        </is>
      </c>
      <c r="I56" s="3" t="inlineStr">
        <is>
          <t>Carousel changes slides with updated caption and metadata.</t>
        </is>
      </c>
      <c r="J56" s="3" t="inlineStr">
        <is>
          <t>Not Run</t>
        </is>
      </c>
      <c r="K56" s="3" t="inlineStr"/>
      <c r="L56" s="3" t="inlineStr"/>
      <c r="M56" s="3" t="inlineStr"/>
    </row>
    <row r="57" ht="58" customHeight="1">
      <c r="A57" s="3" t="inlineStr">
        <is>
          <t>UAT-REG-004</t>
        </is>
      </c>
      <c r="B57" s="3" t="inlineStr">
        <is>
          <t>Regions</t>
        </is>
      </c>
      <c r="C57" s="3" t="inlineStr">
        <is>
          <t>Resource Links</t>
        </is>
      </c>
      <c r="D57" s="3" t="inlineStr">
        <is>
          <t>Guest/User</t>
        </is>
      </c>
      <c r="E57" s="3" t="inlineStr">
        <is>
          <t>Country detail page with links</t>
        </is>
      </c>
      <c r="F57" s="3" t="inlineStr">
        <is>
          <t>Functional</t>
        </is>
      </c>
      <c r="G57" s="3" t="inlineStr">
        <is>
          <t>P3</t>
        </is>
      </c>
      <c r="H57" s="3" t="inlineStr">
        <is>
          <t>1. Open listed resource links.</t>
        </is>
      </c>
      <c r="I57" s="3" t="inlineStr">
        <is>
          <t>External resources open correctly.</t>
        </is>
      </c>
      <c r="J57" s="3" t="inlineStr">
        <is>
          <t>Not Run</t>
        </is>
      </c>
      <c r="K57" s="3" t="inlineStr"/>
      <c r="L57" s="3" t="inlineStr"/>
      <c r="M57" s="3" t="inlineStr"/>
    </row>
    <row r="58" ht="58" customHeight="1">
      <c r="A58" s="3" t="inlineStr">
        <is>
          <t>UAT-REG-005</t>
        </is>
      </c>
      <c r="B58" s="3" t="inlineStr">
        <is>
          <t>Regions</t>
        </is>
      </c>
      <c r="C58" s="3" t="inlineStr">
        <is>
          <t>Invalid Region Slug State</t>
        </is>
      </c>
      <c r="D58" s="3" t="inlineStr">
        <is>
          <t>Guest/User</t>
        </is>
      </c>
      <c r="E58" s="3" t="inlineStr">
        <is>
          <t>App loaded</t>
        </is>
      </c>
      <c r="F58" s="3" t="inlineStr">
        <is>
          <t>Regression</t>
        </is>
      </c>
      <c r="G58" s="3" t="inlineStr">
        <is>
          <t>P2</t>
        </is>
      </c>
      <c r="H58" s="3" t="inlineStr">
        <is>
          <t>1. Navigate to hash regions nonexistent country.</t>
        </is>
      </c>
      <c r="I58" s="3" t="inlineStr">
        <is>
          <t>User sees controlled not found state with ability to navigate back.</t>
        </is>
      </c>
      <c r="J58" s="3" t="inlineStr">
        <is>
          <t>Not Run</t>
        </is>
      </c>
      <c r="K58" s="3" t="inlineStr"/>
      <c r="L58" s="3" t="inlineStr"/>
      <c r="M58" s="3" t="inlineStr"/>
    </row>
    <row r="59" ht="58" customHeight="1">
      <c r="A59" s="3" t="inlineStr">
        <is>
          <t>UAT-AIRND-001</t>
        </is>
      </c>
      <c r="B59" s="3" t="inlineStr">
        <is>
          <t>Ai RnD</t>
        </is>
      </c>
      <c r="C59" s="3" t="inlineStr">
        <is>
          <t>AI News Cards</t>
        </is>
      </c>
      <c r="D59" s="3" t="inlineStr">
        <is>
          <t>Guest/User</t>
        </is>
      </c>
      <c r="E59" s="3" t="inlineStr">
        <is>
          <t>Brand tier set to Ai RnD</t>
        </is>
      </c>
      <c r="F59" s="3" t="inlineStr">
        <is>
          <t>UI</t>
        </is>
      </c>
      <c r="G59" s="3" t="inlineStr">
        <is>
          <t>P2</t>
        </is>
      </c>
      <c r="H59" s="3" t="inlineStr">
        <is>
          <t>1. Open Ai RnD News.</t>
        </is>
      </c>
      <c r="I59" s="3" t="inlineStr">
        <is>
          <t>Curated source cards render with category tag summary and CTA.</t>
        </is>
      </c>
      <c r="J59" s="3" t="inlineStr">
        <is>
          <t>Not Run</t>
        </is>
      </c>
      <c r="K59" s="3" t="inlineStr"/>
      <c r="L59" s="3" t="inlineStr"/>
      <c r="M59" s="3" t="inlineStr"/>
    </row>
    <row r="60" ht="58" customHeight="1">
      <c r="A60" s="3" t="inlineStr">
        <is>
          <t>UAT-AIRND-002</t>
        </is>
      </c>
      <c r="B60" s="3" t="inlineStr">
        <is>
          <t>Ai RnD</t>
        </is>
      </c>
      <c r="C60" s="3" t="inlineStr">
        <is>
          <t>External Source Open</t>
        </is>
      </c>
      <c r="D60" s="3" t="inlineStr">
        <is>
          <t>Guest/User</t>
        </is>
      </c>
      <c r="E60" s="3" t="inlineStr">
        <is>
          <t>Ai RnD cards visible</t>
        </is>
      </c>
      <c r="F60" s="3" t="inlineStr">
        <is>
          <t>Functional</t>
        </is>
      </c>
      <c r="G60" s="3" t="inlineStr">
        <is>
          <t>P3</t>
        </is>
      </c>
      <c r="H60" s="3" t="inlineStr">
        <is>
          <t>1. Click Open Source on multiple cards.</t>
        </is>
      </c>
      <c r="I60" s="3" t="inlineStr">
        <is>
          <t>Each destination opens correctly in new tab or window.</t>
        </is>
      </c>
      <c r="J60" s="3" t="inlineStr">
        <is>
          <t>Not Run</t>
        </is>
      </c>
      <c r="K60" s="3" t="inlineStr"/>
      <c r="L60" s="3" t="inlineStr"/>
      <c r="M60" s="3" t="inlineStr"/>
    </row>
    <row r="61" ht="58" customHeight="1">
      <c r="A61" s="3" t="inlineStr">
        <is>
          <t>UAT-SOMM-001</t>
        </is>
      </c>
      <c r="B61" s="3" t="inlineStr">
        <is>
          <t>Somm Support</t>
        </is>
      </c>
      <c r="C61" s="3" t="inlineStr">
        <is>
          <t>News Impact Cards</t>
        </is>
      </c>
      <c r="D61" s="3" t="inlineStr">
        <is>
          <t>Guest/User</t>
        </is>
      </c>
      <c r="E61" s="3" t="inlineStr">
        <is>
          <t>Brand tier set to Somm Support</t>
        </is>
      </c>
      <c r="F61" s="3" t="inlineStr">
        <is>
          <t>UI</t>
        </is>
      </c>
      <c r="G61" s="3" t="inlineStr">
        <is>
          <t>P2</t>
        </is>
      </c>
      <c r="H61" s="3" t="inlineStr">
        <is>
          <t>1. Open Somm Support News.</t>
        </is>
      </c>
      <c r="I61" s="3" t="inlineStr">
        <is>
          <t>Impact highlight and placeholder community cards render.</t>
        </is>
      </c>
      <c r="J61" s="3" t="inlineStr">
        <is>
          <t>Not Run</t>
        </is>
      </c>
      <c r="K61" s="3" t="inlineStr"/>
      <c r="L61" s="3" t="inlineStr"/>
      <c r="M61" s="3" t="inlineStr"/>
    </row>
    <row r="62" ht="58" customHeight="1">
      <c r="A62" s="3" t="inlineStr">
        <is>
          <t>UAT-SOMM-002</t>
        </is>
      </c>
      <c r="B62" s="3" t="inlineStr">
        <is>
          <t>Somm Support</t>
        </is>
      </c>
      <c r="C62" s="3" t="inlineStr">
        <is>
          <t>Placeholder Link Labels</t>
        </is>
      </c>
      <c r="D62" s="3" t="inlineStr">
        <is>
          <t>Guest/User</t>
        </is>
      </c>
      <c r="E62" s="3" t="inlineStr">
        <is>
          <t>Somm Support News open</t>
        </is>
      </c>
      <c r="F62" s="3" t="inlineStr">
        <is>
          <t>Regression</t>
        </is>
      </c>
      <c r="G62" s="3" t="inlineStr">
        <is>
          <t>P3</t>
        </is>
      </c>
      <c r="H62" s="3" t="inlineStr">
        <is>
          <t>1. Review community link cards.</t>
        </is>
      </c>
      <c r="I62" s="3" t="inlineStr">
        <is>
          <t>Cards show placeholder text indicating links are not connected.</t>
        </is>
      </c>
      <c r="J62" s="3" t="inlineStr">
        <is>
          <t>Not Run</t>
        </is>
      </c>
      <c r="K62" s="3" t="inlineStr"/>
      <c r="L62" s="3" t="inlineStr"/>
      <c r="M62" s="3" t="inlineStr"/>
    </row>
    <row r="63" ht="58" customHeight="1">
      <c r="A63" s="3" t="inlineStr">
        <is>
          <t>UAT-CROSS-001</t>
        </is>
      </c>
      <c r="B63" s="3" t="inlineStr">
        <is>
          <t>Cross-Cutting</t>
        </is>
      </c>
      <c r="C63" s="3" t="inlineStr">
        <is>
          <t>Desktop Layout</t>
        </is>
      </c>
      <c r="D63" s="3" t="inlineStr">
        <is>
          <t>Guest/User</t>
        </is>
      </c>
      <c r="E63" s="3" t="inlineStr">
        <is>
          <t>Desktop viewport</t>
        </is>
      </c>
      <c r="F63" s="3" t="inlineStr">
        <is>
          <t>UI</t>
        </is>
      </c>
      <c r="G63" s="3" t="inlineStr">
        <is>
          <t>P1</t>
        </is>
      </c>
      <c r="H63" s="3" t="inlineStr">
        <is>
          <t>1. Navigate each major tab at desktop width.</t>
        </is>
      </c>
      <c r="I63" s="3" t="inlineStr">
        <is>
          <t>Cards grids and controls are aligned with no overflow.</t>
        </is>
      </c>
      <c r="J63" s="3" t="inlineStr">
        <is>
          <t>Not Run</t>
        </is>
      </c>
      <c r="K63" s="3" t="inlineStr"/>
      <c r="L63" s="3" t="inlineStr"/>
      <c r="M63" s="3" t="inlineStr"/>
    </row>
    <row r="64" ht="58" customHeight="1">
      <c r="A64" s="3" t="inlineStr">
        <is>
          <t>UAT-CROSS-002</t>
        </is>
      </c>
      <c r="B64" s="3" t="inlineStr">
        <is>
          <t>Cross-Cutting</t>
        </is>
      </c>
      <c r="C64" s="3" t="inlineStr">
        <is>
          <t>Tablet Mobile Responsiveness</t>
        </is>
      </c>
      <c r="D64" s="3" t="inlineStr">
        <is>
          <t>Guest/User</t>
        </is>
      </c>
      <c r="E64" s="3" t="inlineStr">
        <is>
          <t>Tablet or mobile viewport</t>
        </is>
      </c>
      <c r="F64" s="3" t="inlineStr">
        <is>
          <t>UI</t>
        </is>
      </c>
      <c r="G64" s="3" t="inlineStr">
        <is>
          <t>P1</t>
        </is>
      </c>
      <c r="H64" s="3" t="inlineStr">
        <is>
          <t>1. Repeat core interactions at 980px and 760px breakpoints.</t>
        </is>
      </c>
      <c r="I64" s="3" t="inlineStr">
        <is>
          <t>Layouts collapse correctly and remain usable.</t>
        </is>
      </c>
      <c r="J64" s="3" t="inlineStr">
        <is>
          <t>Not Run</t>
        </is>
      </c>
      <c r="K64" s="3" t="inlineStr"/>
      <c r="L64" s="3" t="inlineStr"/>
      <c r="M64" s="3" t="inlineStr"/>
    </row>
    <row r="65" ht="58" customHeight="1">
      <c r="A65" s="3" t="inlineStr">
        <is>
          <t>UAT-CROSS-003</t>
        </is>
      </c>
      <c r="B65" s="3" t="inlineStr">
        <is>
          <t>Cross-Cutting</t>
        </is>
      </c>
      <c r="C65" s="3" t="inlineStr">
        <is>
          <t>Keyboard Focus Visibility</t>
        </is>
      </c>
      <c r="D65" s="3" t="inlineStr">
        <is>
          <t>Guest/User</t>
        </is>
      </c>
      <c r="E65" s="3" t="inlineStr">
        <is>
          <t>Any page</t>
        </is>
      </c>
      <c r="F65" s="3" t="inlineStr">
        <is>
          <t>Accessibility</t>
        </is>
      </c>
      <c r="G65" s="3" t="inlineStr">
        <is>
          <t>P2</t>
        </is>
      </c>
      <c r="H65" s="3" t="inlineStr">
        <is>
          <t>1. Navigate controls with Tab and Shift Tab.</t>
        </is>
      </c>
      <c r="I65" s="3" t="inlineStr">
        <is>
          <t>Visible focus indicators are present and order is sensible.</t>
        </is>
      </c>
      <c r="J65" s="3" t="inlineStr">
        <is>
          <t>Not Run</t>
        </is>
      </c>
      <c r="K65" s="3" t="inlineStr"/>
      <c r="L65" s="3" t="inlineStr"/>
      <c r="M65" s="3" t="inlineStr"/>
    </row>
    <row r="66" ht="58" customHeight="1">
      <c r="A66" s="3" t="inlineStr">
        <is>
          <t>UAT-CROSS-004</t>
        </is>
      </c>
      <c r="B66" s="3" t="inlineStr">
        <is>
          <t>Cross-Cutting</t>
        </is>
      </c>
      <c r="C66" s="3" t="inlineStr">
        <is>
          <t>Basic Error Resilience</t>
        </is>
      </c>
      <c r="D66" s="3" t="inlineStr">
        <is>
          <t>Guest/User</t>
        </is>
      </c>
      <c r="E66" s="3" t="inlineStr">
        <is>
          <t>Attempt network dependent actions</t>
        </is>
      </c>
      <c r="F66" s="3" t="inlineStr">
        <is>
          <t>Regression</t>
        </is>
      </c>
      <c r="G66" s="3" t="inlineStr">
        <is>
          <t>P1</t>
        </is>
      </c>
      <c r="H66" s="3" t="inlineStr">
        <is>
          <t>1. Trigger actions that can fail such as refresh or generation.</t>
        </is>
      </c>
      <c r="I66" s="3" t="inlineStr">
        <is>
          <t>UI shows informative notice states without crashing.</t>
        </is>
      </c>
      <c r="J66" s="3" t="inlineStr">
        <is>
          <t>Not Run</t>
        </is>
      </c>
      <c r="K66" s="3" t="inlineStr"/>
      <c r="L66" s="3" t="inlineStr"/>
      <c r="M66" s="3" t="inlineStr"/>
    </row>
  </sheetData>
  <autoFilter ref="A1:M66"/>
  <dataValidations count="3">
    <dataValidation sqref="J2:J66" showDropDown="0" showInputMessage="0" showErrorMessage="0" allowBlank="0" type="list">
      <formula1>"Not Run,Pass,Fail,Blocked,N/A"</formula1>
    </dataValidation>
    <dataValidation sqref="G2:G66" showDropDown="0" showInputMessage="0" showErrorMessage="0" allowBlank="0" type="list">
      <formula1>"P1,P2,P3"</formula1>
    </dataValidation>
    <dataValidation sqref="F2:F66" showDropDown="0" showInputMessage="0" showErrorMessage="0" allowBlank="0" type="list">
      <formula1>"Functional,UI,Regression,Accessibility,Integration"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Area</t>
        </is>
      </c>
      <c r="B1" s="8" t="inlineStr">
        <is>
          <t>Total</t>
        </is>
      </c>
      <c r="C1" s="8" t="inlineStr">
        <is>
          <t>Pass</t>
        </is>
      </c>
      <c r="D1" s="8" t="inlineStr">
        <is>
          <t>Fail</t>
        </is>
      </c>
      <c r="E1" s="8" t="inlineStr">
        <is>
          <t>Blocked</t>
        </is>
      </c>
      <c r="F1" s="8" t="inlineStr">
        <is>
          <t>Not Run</t>
        </is>
      </c>
      <c r="G1" s="8" t="inlineStr">
        <is>
          <t>Pass Rate</t>
        </is>
      </c>
    </row>
    <row r="2">
      <c r="A2" s="3" t="inlineStr">
        <is>
          <t>Ai RnD</t>
        </is>
      </c>
      <c r="B2" s="9">
        <f>COUNTIF('UAT Cases'!B:B,A2)</f>
        <v/>
      </c>
      <c r="C2" s="9">
        <f>COUNTIFS('UAT Cases'!B:B,A2,'UAT Cases'!J:J,"Pass")</f>
        <v/>
      </c>
      <c r="D2" s="9">
        <f>COUNTIFS('UAT Cases'!B:B,A2,'UAT Cases'!J:J,"Fail")</f>
        <v/>
      </c>
      <c r="E2" s="9">
        <f>COUNTIFS('UAT Cases'!B:B,A2,'UAT Cases'!J:J,"Blocked")</f>
        <v/>
      </c>
      <c r="F2" s="9">
        <f>COUNTIFS('UAT Cases'!B:B,A2,'UAT Cases'!J:J,"Not Run")</f>
        <v/>
      </c>
      <c r="G2" s="10">
        <f>IF(B2=0,0,C2/B2)</f>
        <v/>
      </c>
    </row>
    <row r="3">
      <c r="A3" s="3" t="inlineStr">
        <is>
          <t>Beverage News</t>
        </is>
      </c>
      <c r="B3" s="9">
        <f>COUNTIF('UAT Cases'!B:B,A3)</f>
        <v/>
      </c>
      <c r="C3" s="9">
        <f>COUNTIFS('UAT Cases'!B:B,A3,'UAT Cases'!J:J,"Pass")</f>
        <v/>
      </c>
      <c r="D3" s="9">
        <f>COUNTIFS('UAT Cases'!B:B,A3,'UAT Cases'!J:J,"Fail")</f>
        <v/>
      </c>
      <c r="E3" s="9">
        <f>COUNTIFS('UAT Cases'!B:B,A3,'UAT Cases'!J:J,"Blocked")</f>
        <v/>
      </c>
      <c r="F3" s="9">
        <f>COUNTIFS('UAT Cases'!B:B,A3,'UAT Cases'!J:J,"Not Run")</f>
        <v/>
      </c>
      <c r="G3" s="10">
        <f>IF(B3=0,0,C3/B3)</f>
        <v/>
      </c>
    </row>
    <row r="4">
      <c r="A4" s="3" t="inlineStr">
        <is>
          <t>Beverage Quiz</t>
        </is>
      </c>
      <c r="B4" s="9">
        <f>COUNTIF('UAT Cases'!B:B,A4)</f>
        <v/>
      </c>
      <c r="C4" s="9">
        <f>COUNTIFS('UAT Cases'!B:B,A4,'UAT Cases'!J:J,"Pass")</f>
        <v/>
      </c>
      <c r="D4" s="9">
        <f>COUNTIFS('UAT Cases'!B:B,A4,'UAT Cases'!J:J,"Fail")</f>
        <v/>
      </c>
      <c r="E4" s="9">
        <f>COUNTIFS('UAT Cases'!B:B,A4,'UAT Cases'!J:J,"Blocked")</f>
        <v/>
      </c>
      <c r="F4" s="9">
        <f>COUNTIFS('UAT Cases'!B:B,A4,'UAT Cases'!J:J,"Not Run")</f>
        <v/>
      </c>
      <c r="G4" s="10">
        <f>IF(B4=0,0,C4/B4)</f>
        <v/>
      </c>
    </row>
    <row r="5">
      <c r="A5" s="3" t="inlineStr">
        <is>
          <t>Cross-Cutting</t>
        </is>
      </c>
      <c r="B5" s="9">
        <f>COUNTIF('UAT Cases'!B:B,A5)</f>
        <v/>
      </c>
      <c r="C5" s="9">
        <f>COUNTIFS('UAT Cases'!B:B,A5,'UAT Cases'!J:J,"Pass")</f>
        <v/>
      </c>
      <c r="D5" s="9">
        <f>COUNTIFS('UAT Cases'!B:B,A5,'UAT Cases'!J:J,"Fail")</f>
        <v/>
      </c>
      <c r="E5" s="9">
        <f>COUNTIFS('UAT Cases'!B:B,A5,'UAT Cases'!J:J,"Blocked")</f>
        <v/>
      </c>
      <c r="F5" s="9">
        <f>COUNTIFS('UAT Cases'!B:B,A5,'UAT Cases'!J:J,"Not Run")</f>
        <v/>
      </c>
      <c r="G5" s="10">
        <f>IF(B5=0,0,C5/B5)</f>
        <v/>
      </c>
    </row>
    <row r="6">
      <c r="A6" s="3" t="inlineStr">
        <is>
          <t>Flavor Wheel</t>
        </is>
      </c>
      <c r="B6" s="9">
        <f>COUNTIF('UAT Cases'!B:B,A6)</f>
        <v/>
      </c>
      <c r="C6" s="9">
        <f>COUNTIFS('UAT Cases'!B:B,A6,'UAT Cases'!J:J,"Pass")</f>
        <v/>
      </c>
      <c r="D6" s="9">
        <f>COUNTIFS('UAT Cases'!B:B,A6,'UAT Cases'!J:J,"Fail")</f>
        <v/>
      </c>
      <c r="E6" s="9">
        <f>COUNTIFS('UAT Cases'!B:B,A6,'UAT Cases'!J:J,"Blocked")</f>
        <v/>
      </c>
      <c r="F6" s="9">
        <f>COUNTIFS('UAT Cases'!B:B,A6,'UAT Cases'!J:J,"Not Run")</f>
        <v/>
      </c>
      <c r="G6" s="10">
        <f>IF(B6=0,0,C6/B6)</f>
        <v/>
      </c>
    </row>
    <row r="7">
      <c r="A7" s="3" t="inlineStr">
        <is>
          <t>Global Navigation</t>
        </is>
      </c>
      <c r="B7" s="9">
        <f>COUNTIF('UAT Cases'!B:B,A7)</f>
        <v/>
      </c>
      <c r="C7" s="9">
        <f>COUNTIFS('UAT Cases'!B:B,A7,'UAT Cases'!J:J,"Pass")</f>
        <v/>
      </c>
      <c r="D7" s="9">
        <f>COUNTIFS('UAT Cases'!B:B,A7,'UAT Cases'!J:J,"Fail")</f>
        <v/>
      </c>
      <c r="E7" s="9">
        <f>COUNTIFS('UAT Cases'!B:B,A7,'UAT Cases'!J:J,"Blocked")</f>
        <v/>
      </c>
      <c r="F7" s="9">
        <f>COUNTIFS('UAT Cases'!B:B,A7,'UAT Cases'!J:J,"Not Run")</f>
        <v/>
      </c>
      <c r="G7" s="10">
        <f>IF(B7=0,0,C7/B7)</f>
        <v/>
      </c>
    </row>
    <row r="8">
      <c r="A8" s="3" t="inlineStr">
        <is>
          <t>Regions</t>
        </is>
      </c>
      <c r="B8" s="9">
        <f>COUNTIF('UAT Cases'!B:B,A8)</f>
        <v/>
      </c>
      <c r="C8" s="9">
        <f>COUNTIFS('UAT Cases'!B:B,A8,'UAT Cases'!J:J,"Pass")</f>
        <v/>
      </c>
      <c r="D8" s="9">
        <f>COUNTIFS('UAT Cases'!B:B,A8,'UAT Cases'!J:J,"Fail")</f>
        <v/>
      </c>
      <c r="E8" s="9">
        <f>COUNTIFS('UAT Cases'!B:B,A8,'UAT Cases'!J:J,"Blocked")</f>
        <v/>
      </c>
      <c r="F8" s="9">
        <f>COUNTIFS('UAT Cases'!B:B,A8,'UAT Cases'!J:J,"Not Run")</f>
        <v/>
      </c>
      <c r="G8" s="10">
        <f>IF(B8=0,0,C8/B8)</f>
        <v/>
      </c>
    </row>
    <row r="9">
      <c r="A9" s="3" t="inlineStr">
        <is>
          <t>Sip Academy</t>
        </is>
      </c>
      <c r="B9" s="9">
        <f>COUNTIF('UAT Cases'!B:B,A9)</f>
        <v/>
      </c>
      <c r="C9" s="9">
        <f>COUNTIFS('UAT Cases'!B:B,A9,'UAT Cases'!J:J,"Pass")</f>
        <v/>
      </c>
      <c r="D9" s="9">
        <f>COUNTIFS('UAT Cases'!B:B,A9,'UAT Cases'!J:J,"Fail")</f>
        <v/>
      </c>
      <c r="E9" s="9">
        <f>COUNTIFS('UAT Cases'!B:B,A9,'UAT Cases'!J:J,"Blocked")</f>
        <v/>
      </c>
      <c r="F9" s="9">
        <f>COUNTIFS('UAT Cases'!B:B,A9,'UAT Cases'!J:J,"Not Run")</f>
        <v/>
      </c>
      <c r="G9" s="10">
        <f>IF(B9=0,0,C9/B9)</f>
        <v/>
      </c>
    </row>
    <row r="10">
      <c r="A10" s="3" t="inlineStr">
        <is>
          <t>Sipopedia</t>
        </is>
      </c>
      <c r="B10" s="9">
        <f>COUNTIF('UAT Cases'!B:B,A10)</f>
        <v/>
      </c>
      <c r="C10" s="9">
        <f>COUNTIFS('UAT Cases'!B:B,A10,'UAT Cases'!J:J,"Pass")</f>
        <v/>
      </c>
      <c r="D10" s="9">
        <f>COUNTIFS('UAT Cases'!B:B,A10,'UAT Cases'!J:J,"Fail")</f>
        <v/>
      </c>
      <c r="E10" s="9">
        <f>COUNTIFS('UAT Cases'!B:B,A10,'UAT Cases'!J:J,"Blocked")</f>
        <v/>
      </c>
      <c r="F10" s="9">
        <f>COUNTIFS('UAT Cases'!B:B,A10,'UAT Cases'!J:J,"Not Run")</f>
        <v/>
      </c>
      <c r="G10" s="10">
        <f>IF(B10=0,0,C10/B10)</f>
        <v/>
      </c>
    </row>
    <row r="11">
      <c r="A11" s="3" t="inlineStr">
        <is>
          <t>Somm Support</t>
        </is>
      </c>
      <c r="B11" s="9">
        <f>COUNTIF('UAT Cases'!B:B,A11)</f>
        <v/>
      </c>
      <c r="C11" s="9">
        <f>COUNTIFS('UAT Cases'!B:B,A11,'UAT Cases'!J:J,"Pass")</f>
        <v/>
      </c>
      <c r="D11" s="9">
        <f>COUNTIFS('UAT Cases'!B:B,A11,'UAT Cases'!J:J,"Fail")</f>
        <v/>
      </c>
      <c r="E11" s="9">
        <f>COUNTIFS('UAT Cases'!B:B,A11,'UAT Cases'!J:J,"Blocked")</f>
        <v/>
      </c>
      <c r="F11" s="9">
        <f>COUNTIFS('UAT Cases'!B:B,A11,'UAT Cases'!J:J,"Not Run")</f>
        <v/>
      </c>
      <c r="G11" s="10">
        <f>IF(B11=0,0,C11/B11)</f>
        <v/>
      </c>
    </row>
    <row r="12">
      <c r="A12" s="3" t="inlineStr">
        <is>
          <t>Tasting Groups</t>
        </is>
      </c>
      <c r="B12" s="9">
        <f>COUNTIF('UAT Cases'!B:B,A12)</f>
        <v/>
      </c>
      <c r="C12" s="9">
        <f>COUNTIFS('UAT Cases'!B:B,A12,'UAT Cases'!J:J,"Pass")</f>
        <v/>
      </c>
      <c r="D12" s="9">
        <f>COUNTIFS('UAT Cases'!B:B,A12,'UAT Cases'!J:J,"Fail")</f>
        <v/>
      </c>
      <c r="E12" s="9">
        <f>COUNTIFS('UAT Cases'!B:B,A12,'UAT Cases'!J:J,"Blocked")</f>
        <v/>
      </c>
      <c r="F12" s="9">
        <f>COUNTIFS('UAT Cases'!B:B,A12,'UAT Cases'!J:J,"Not Run")</f>
        <v/>
      </c>
      <c r="G12" s="10">
        <f>IF(B12=0,0,C12/B12)</f>
        <v/>
      </c>
    </row>
    <row r="13">
      <c r="A13" s="3" t="inlineStr">
        <is>
          <t>Tasting Journal</t>
        </is>
      </c>
      <c r="B13" s="9">
        <f>COUNTIF('UAT Cases'!B:B,A13)</f>
        <v/>
      </c>
      <c r="C13" s="9">
        <f>COUNTIFS('UAT Cases'!B:B,A13,'UAT Cases'!J:J,"Pass")</f>
        <v/>
      </c>
      <c r="D13" s="9">
        <f>COUNTIFS('UAT Cases'!B:B,A13,'UAT Cases'!J:J,"Fail")</f>
        <v/>
      </c>
      <c r="E13" s="9">
        <f>COUNTIFS('UAT Cases'!B:B,A13,'UAT Cases'!J:J,"Blocked")</f>
        <v/>
      </c>
      <c r="F13" s="9">
        <f>COUNTIFS('UAT Cases'!B:B,A13,'UAT Cases'!J:J,"Not Run")</f>
        <v/>
      </c>
      <c r="G13" s="10">
        <f>IF(B13=0,0,C13/B13)</f>
        <v/>
      </c>
    </row>
    <row r="15">
      <c r="A15" s="2" t="inlineStr">
        <is>
          <t>TOTAL</t>
        </is>
      </c>
      <c r="B15" s="11">
        <f>SUM(B2:B13)</f>
        <v/>
      </c>
      <c r="C15" s="11">
        <f>SUM(C2:C13)</f>
        <v/>
      </c>
      <c r="D15" s="11">
        <f>SUM(D2:D13)</f>
        <v/>
      </c>
      <c r="E15" s="11">
        <f>SUM(E2:E13)</f>
        <v/>
      </c>
      <c r="F15" s="11">
        <f>SUM(F2:F13)</f>
        <v/>
      </c>
      <c r="G15" s="12">
        <f>IF(B15=0,0,C15/B15)</f>
        <v/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2026-03-01T07:21:56Z</dcterms:created>
  <dcterms:modified xmlns:dcterms="http://purl.org/dc/terms/" xmlns:xsi="http://www.w3.org/2001/XMLSchema-instance" xsi:type="dcterms:W3CDTF">2026-03-01T07:21:56Z</dcterms:modified>
</cp:coreProperties>
</file>